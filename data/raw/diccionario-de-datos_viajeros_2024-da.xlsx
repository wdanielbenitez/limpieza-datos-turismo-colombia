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DIEGO\Observatorio de Turismo 2025\07. Viajeros 2024 a Datos Abiertos\"/>
    </mc:Choice>
  </mc:AlternateContent>
  <xr:revisionPtr revIDLastSave="0" documentId="13_ncr:1_{397FEC17-FCE4-42C3-9414-75EE6217FC1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" i="1" l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67" i="1"/>
  <c r="C156" i="1"/>
  <c r="C157" i="1"/>
  <c r="C158" i="1"/>
  <c r="C159" i="1"/>
  <c r="C160" i="1"/>
  <c r="C161" i="1"/>
  <c r="C162" i="1"/>
  <c r="C163" i="1"/>
  <c r="C164" i="1"/>
  <c r="C165" i="1"/>
  <c r="C155" i="1"/>
  <c r="C136" i="1"/>
  <c r="C137" i="1"/>
  <c r="C138" i="1"/>
  <c r="C139" i="1"/>
  <c r="C140" i="1"/>
  <c r="C141" i="1"/>
  <c r="C135" i="1"/>
  <c r="C120" i="1"/>
  <c r="C121" i="1"/>
  <c r="C122" i="1"/>
  <c r="C123" i="1"/>
  <c r="C124" i="1"/>
  <c r="C125" i="1"/>
  <c r="C119" i="1"/>
  <c r="C112" i="1"/>
  <c r="C111" i="1"/>
  <c r="C74" i="1"/>
  <c r="C75" i="1"/>
  <c r="C76" i="1"/>
  <c r="C77" i="1"/>
  <c r="C78" i="1"/>
  <c r="C79" i="1"/>
  <c r="C80" i="1"/>
  <c r="C81" i="1"/>
  <c r="C82" i="1"/>
  <c r="C83" i="1"/>
  <c r="C73" i="1"/>
</calcChain>
</file>

<file path=xl/sharedStrings.xml><?xml version="1.0" encoding="utf-8"?>
<sst xmlns="http://schemas.openxmlformats.org/spreadsheetml/2006/main" count="560" uniqueCount="461">
  <si>
    <t>ID</t>
  </si>
  <si>
    <t>Descripción del Campo</t>
  </si>
  <si>
    <t>[Liste los valores válidos, patrón o rango para el campo]</t>
  </si>
  <si>
    <t>Obs_ID</t>
  </si>
  <si>
    <t>M1P101</t>
  </si>
  <si>
    <t>M1P102</t>
  </si>
  <si>
    <t>M1P102a1</t>
  </si>
  <si>
    <t>M1P102b1</t>
  </si>
  <si>
    <t>M1P103</t>
  </si>
  <si>
    <t>M1P103i1</t>
  </si>
  <si>
    <t>M1P104</t>
  </si>
  <si>
    <t>M1P105</t>
  </si>
  <si>
    <t>M1P106</t>
  </si>
  <si>
    <t>M1P106a</t>
  </si>
  <si>
    <t>M1P106b</t>
  </si>
  <si>
    <t>M1P106c</t>
  </si>
  <si>
    <t>M1P107</t>
  </si>
  <si>
    <t>M1P107b1</t>
  </si>
  <si>
    <t>M1P108</t>
  </si>
  <si>
    <t>M1P109</t>
  </si>
  <si>
    <t>M2P201</t>
  </si>
  <si>
    <t>M2P201a1</t>
  </si>
  <si>
    <t>M2P201b1</t>
  </si>
  <si>
    <t>M2P202</t>
  </si>
  <si>
    <t>M2P202d1</t>
  </si>
  <si>
    <t>M2P203</t>
  </si>
  <si>
    <t>M2P204</t>
  </si>
  <si>
    <t>M2P205</t>
  </si>
  <si>
    <t>M2P205g1</t>
  </si>
  <si>
    <t>M2P206</t>
  </si>
  <si>
    <t>M2P206a</t>
  </si>
  <si>
    <t>M2P206b</t>
  </si>
  <si>
    <t>M2P206c</t>
  </si>
  <si>
    <t>M2P206d</t>
  </si>
  <si>
    <t>M2P206e</t>
  </si>
  <si>
    <t>M2P206f</t>
  </si>
  <si>
    <t>M2P206g</t>
  </si>
  <si>
    <t>M2P206h</t>
  </si>
  <si>
    <t>M2P206i</t>
  </si>
  <si>
    <t>M2P206j</t>
  </si>
  <si>
    <t>M2P206j1_c</t>
  </si>
  <si>
    <t>M2P207</t>
  </si>
  <si>
    <t>M2P207a</t>
  </si>
  <si>
    <t>M2P207b</t>
  </si>
  <si>
    <t>M2P207c</t>
  </si>
  <si>
    <t>M2P207d</t>
  </si>
  <si>
    <t>M2P207e</t>
  </si>
  <si>
    <t>M2P207f</t>
  </si>
  <si>
    <t>M2P207g</t>
  </si>
  <si>
    <t>M2P207h</t>
  </si>
  <si>
    <t>M2P207i</t>
  </si>
  <si>
    <t>M2P207j</t>
  </si>
  <si>
    <t>M2P207k</t>
  </si>
  <si>
    <t>M2P207l</t>
  </si>
  <si>
    <t>M2P207m</t>
  </si>
  <si>
    <t>M2P207n</t>
  </si>
  <si>
    <t>M2P207o</t>
  </si>
  <si>
    <t>M2P207p</t>
  </si>
  <si>
    <t>M2P207q</t>
  </si>
  <si>
    <t>M2P207r</t>
  </si>
  <si>
    <t>M2P207r1</t>
  </si>
  <si>
    <t>M2P208</t>
  </si>
  <si>
    <t>M2P208a</t>
  </si>
  <si>
    <t>M2P208b</t>
  </si>
  <si>
    <t>M2P208c</t>
  </si>
  <si>
    <t>M2P208d</t>
  </si>
  <si>
    <t>M2P208e</t>
  </si>
  <si>
    <t>M2P208f</t>
  </si>
  <si>
    <t>M2P208g</t>
  </si>
  <si>
    <t>M2P208h</t>
  </si>
  <si>
    <t>M2P208i</t>
  </si>
  <si>
    <t>M2P208_0</t>
  </si>
  <si>
    <t>M2P208_1</t>
  </si>
  <si>
    <t>M2P209</t>
  </si>
  <si>
    <t>M2P209a</t>
  </si>
  <si>
    <t>M2P209b</t>
  </si>
  <si>
    <t>M2P209c</t>
  </si>
  <si>
    <t>M2P209d</t>
  </si>
  <si>
    <t>M2P209e</t>
  </si>
  <si>
    <t>M2P209f</t>
  </si>
  <si>
    <t>M2P209g</t>
  </si>
  <si>
    <t>M2P209h</t>
  </si>
  <si>
    <t>M2P209i</t>
  </si>
  <si>
    <t>M2P209j</t>
  </si>
  <si>
    <t>M2P209k</t>
  </si>
  <si>
    <t>M2P210</t>
  </si>
  <si>
    <t>M2P211</t>
  </si>
  <si>
    <t>M2P211a</t>
  </si>
  <si>
    <t>M2P211b</t>
  </si>
  <si>
    <t>M2P211c</t>
  </si>
  <si>
    <t>M2P211d</t>
  </si>
  <si>
    <t>M2P211e</t>
  </si>
  <si>
    <t>M2P212</t>
  </si>
  <si>
    <t>M2P212b1</t>
  </si>
  <si>
    <t>M3P301</t>
  </si>
  <si>
    <t>M3P301b1</t>
  </si>
  <si>
    <t>M3P302</t>
  </si>
  <si>
    <t>M3P302a1</t>
  </si>
  <si>
    <t>M3P302b1</t>
  </si>
  <si>
    <t>M3P303</t>
  </si>
  <si>
    <t>M3P303f1</t>
  </si>
  <si>
    <t>M3P304</t>
  </si>
  <si>
    <t>M3P305</t>
  </si>
  <si>
    <t>M3P306</t>
  </si>
  <si>
    <t>M3P307</t>
  </si>
  <si>
    <t>M3P308</t>
  </si>
  <si>
    <t>M3P309</t>
  </si>
  <si>
    <t>M3P310</t>
  </si>
  <si>
    <t>M3P311</t>
  </si>
  <si>
    <t>M3P311g1</t>
  </si>
  <si>
    <t>M3P312</t>
  </si>
  <si>
    <t>M4P401</t>
  </si>
  <si>
    <t>M4P401ga</t>
  </si>
  <si>
    <t>M4P401gb</t>
  </si>
  <si>
    <t>M4P401j1</t>
  </si>
  <si>
    <t>M4P401_1</t>
  </si>
  <si>
    <t>M4P401_1e1</t>
  </si>
  <si>
    <t>M4P401_2</t>
  </si>
  <si>
    <t>M4P401_3</t>
  </si>
  <si>
    <t>M4P402</t>
  </si>
  <si>
    <t>M4P402a</t>
  </si>
  <si>
    <t>M4P402b</t>
  </si>
  <si>
    <t>M4P402c</t>
  </si>
  <si>
    <t>M4P402d</t>
  </si>
  <si>
    <t>M4P402e</t>
  </si>
  <si>
    <t>M4P402f</t>
  </si>
  <si>
    <t>M4P402g</t>
  </si>
  <si>
    <t>M4P402g1</t>
  </si>
  <si>
    <t>M4P403</t>
  </si>
  <si>
    <t>M4P404</t>
  </si>
  <si>
    <t>M4P405</t>
  </si>
  <si>
    <t>M4P406</t>
  </si>
  <si>
    <t>M4P407</t>
  </si>
  <si>
    <t>M4P407f1</t>
  </si>
  <si>
    <t>M4P408</t>
  </si>
  <si>
    <t>M4P409</t>
  </si>
  <si>
    <t>M4P409a</t>
  </si>
  <si>
    <t>M4P409b</t>
  </si>
  <si>
    <t>M4P409c</t>
  </si>
  <si>
    <t>M4P409d</t>
  </si>
  <si>
    <t>M4P409e</t>
  </si>
  <si>
    <t>M4P409f</t>
  </si>
  <si>
    <t>M4P409g</t>
  </si>
  <si>
    <t>M4P409g1</t>
  </si>
  <si>
    <t>M4P410</t>
  </si>
  <si>
    <t>M4P410a</t>
  </si>
  <si>
    <t>M4P410b</t>
  </si>
  <si>
    <t>M4P410c</t>
  </si>
  <si>
    <t>M4P411</t>
  </si>
  <si>
    <t>M4P411a</t>
  </si>
  <si>
    <t>M4P411b</t>
  </si>
  <si>
    <t>M4P411c</t>
  </si>
  <si>
    <t>M4P411d</t>
  </si>
  <si>
    <t>M4P411e</t>
  </si>
  <si>
    <t>M4P411f</t>
  </si>
  <si>
    <t>M5P501</t>
  </si>
  <si>
    <t>M5P501a</t>
  </si>
  <si>
    <t>M5P501b</t>
  </si>
  <si>
    <t>M5P501c</t>
  </si>
  <si>
    <t>M5P501d</t>
  </si>
  <si>
    <t>M5P501e</t>
  </si>
  <si>
    <t>M5P501f</t>
  </si>
  <si>
    <t>M5P501g</t>
  </si>
  <si>
    <t>M5P501h</t>
  </si>
  <si>
    <t>M5P501i</t>
  </si>
  <si>
    <t>M5P501j</t>
  </si>
  <si>
    <t>M5P501k</t>
  </si>
  <si>
    <t>M5P502</t>
  </si>
  <si>
    <t>M5P502a</t>
  </si>
  <si>
    <t>M5P502b</t>
  </si>
  <si>
    <t>M5P502c</t>
  </si>
  <si>
    <t>M5P502d</t>
  </si>
  <si>
    <t>M5P502e</t>
  </si>
  <si>
    <t>M5P502f</t>
  </si>
  <si>
    <t>M5P502g</t>
  </si>
  <si>
    <t>M5P502h</t>
  </si>
  <si>
    <t>M5P502i</t>
  </si>
  <si>
    <t>M5P502j</t>
  </si>
  <si>
    <t>M5P502k</t>
  </si>
  <si>
    <t>M5P502l</t>
  </si>
  <si>
    <t>M5P502m</t>
  </si>
  <si>
    <t>M5P502n</t>
  </si>
  <si>
    <t>M5P502o</t>
  </si>
  <si>
    <t>M5P502p</t>
  </si>
  <si>
    <t>M5P502q</t>
  </si>
  <si>
    <t>M5P502r</t>
  </si>
  <si>
    <t>M5P502s</t>
  </si>
  <si>
    <t>M5P502s1</t>
  </si>
  <si>
    <t>M5P502t</t>
  </si>
  <si>
    <t>M5P502t1</t>
  </si>
  <si>
    <t>M6P601</t>
  </si>
  <si>
    <t>M6P602</t>
  </si>
  <si>
    <t>M6P603</t>
  </si>
  <si>
    <t>M6P604</t>
  </si>
  <si>
    <t>M6P605</t>
  </si>
  <si>
    <t>M6P606</t>
  </si>
  <si>
    <t>M6P607</t>
  </si>
  <si>
    <t>M7P701</t>
  </si>
  <si>
    <t>M7P701a</t>
  </si>
  <si>
    <t>M7P701b</t>
  </si>
  <si>
    <t>M7P701c</t>
  </si>
  <si>
    <t>M7P701d</t>
  </si>
  <si>
    <t>M7P701e</t>
  </si>
  <si>
    <t>M7P701f</t>
  </si>
  <si>
    <t>M7P701g</t>
  </si>
  <si>
    <t>M7P702</t>
  </si>
  <si>
    <t>M7P702a</t>
  </si>
  <si>
    <t>M7P702b</t>
  </si>
  <si>
    <t>M7P702c</t>
  </si>
  <si>
    <t>M7P702d</t>
  </si>
  <si>
    <t>M7P702e</t>
  </si>
  <si>
    <t>M7P702f</t>
  </si>
  <si>
    <t>M7P703</t>
  </si>
  <si>
    <t>M7P703c1</t>
  </si>
  <si>
    <t>M8P801</t>
  </si>
  <si>
    <t>M8P801a1</t>
  </si>
  <si>
    <t>M8P802</t>
  </si>
  <si>
    <t>M8P802a1</t>
  </si>
  <si>
    <t>M8P803</t>
  </si>
  <si>
    <t>M8P803a</t>
  </si>
  <si>
    <t>Mes</t>
  </si>
  <si>
    <t>Dpto</t>
  </si>
  <si>
    <t>País</t>
  </si>
  <si>
    <t>¿Cuál?</t>
  </si>
  <si>
    <t>a. Pesos</t>
  </si>
  <si>
    <t>b. Dolares</t>
  </si>
  <si>
    <t>c.  Euros</t>
  </si>
  <si>
    <t>¿Cuántas noches?</t>
  </si>
  <si>
    <t>Pais</t>
  </si>
  <si>
    <t>a. Tipo Cultural (Histórico, Arte, Religioso, Arquitectónico)</t>
  </si>
  <si>
    <t>b. Urbano (bicicleta, compras, rumba, grafiti)</t>
  </si>
  <si>
    <t>c. Gastronómico (experiencia vinculada a la comida, enoturismo y catas café)</t>
  </si>
  <si>
    <t>d. Tipo Rural, Comunitario o Social</t>
  </si>
  <si>
    <t>e. Naturaleza (Ecoturismo, Avistamiento, Aventura)</t>
  </si>
  <si>
    <t>f. De Compras (centros comerciales, Pasajes Comerciales)</t>
  </si>
  <si>
    <t>g. Bienestar (preventivas, proactivas y de mejora del estilo de vida)</t>
  </si>
  <si>
    <t>h. Tipo médico (invasivos o no invasivos: diagnóstico, tratamiento, cura, preven</t>
  </si>
  <si>
    <t>i. Negocios (motivo  profesional y/o de negocio, capacitación laboral)</t>
  </si>
  <si>
    <t>j.  Otro</t>
  </si>
  <si>
    <t>a. Museo del Oro</t>
  </si>
  <si>
    <t>b. Cerro /Santuario de Monserrate</t>
  </si>
  <si>
    <t>c. Plaza del Chorro de Quevedo</t>
  </si>
  <si>
    <t xml:space="preserve">d. Centro Histórico de La Candelaria </t>
  </si>
  <si>
    <t>e. Plaza de Bolívar</t>
  </si>
  <si>
    <t>f. Jardín Botánico</t>
  </si>
  <si>
    <t xml:space="preserve">g. Plaza de Mercado Paloquemao </t>
  </si>
  <si>
    <t>h. Plaza de Mercado La Concordia</t>
  </si>
  <si>
    <t>i. Zona T</t>
  </si>
  <si>
    <t>j. Zona G</t>
  </si>
  <si>
    <t>k. Parque Simón Bolívar</t>
  </si>
  <si>
    <t>l. Museo de Botero</t>
  </si>
  <si>
    <t>m. Teatro Colón</t>
  </si>
  <si>
    <t>n.  Biblioteca Virgilio Barco</t>
  </si>
  <si>
    <t>o. Plaza Fundacional de Usaquén</t>
  </si>
  <si>
    <t>p. Quiba (rural)</t>
  </si>
  <si>
    <t>q. Usme (rural)</t>
  </si>
  <si>
    <t xml:space="preserve">r. Otro </t>
  </si>
  <si>
    <t xml:space="preserve">a. Museo del Vidrio de Bogotá ? San Cristóbal </t>
  </si>
  <si>
    <t>b. Circuito de Arte Urbano Bogotá Colors ? Ciudad Bolívar</t>
  </si>
  <si>
    <t>c. Museo de la Ciudad Autoconstruida ? Ciudad Bolívar</t>
  </si>
  <si>
    <t>d. Distrito Graffiti ? Puente Aranda</t>
  </si>
  <si>
    <t>e. Ruta Agroturística La Requilina ? Usme</t>
  </si>
  <si>
    <t>f. Cabildo indígena de Bosa</t>
  </si>
  <si>
    <t>g. Parque Arqueológico y del Patrimonio Cultural de Usme</t>
  </si>
  <si>
    <t>h. Senderos de los Cerros Orientales</t>
  </si>
  <si>
    <t>i. Cerro de Guadalupe</t>
  </si>
  <si>
    <t>a. Changua</t>
  </si>
  <si>
    <t>b. Ajiaco Santafereño</t>
  </si>
  <si>
    <t>c. Tamal </t>
  </si>
  <si>
    <t>d. Agua de panela con queso</t>
  </si>
  <si>
    <t>e. Obleas</t>
  </si>
  <si>
    <t>f. Chocolate Santafereño </t>
  </si>
  <si>
    <t>g. Fritanga</t>
  </si>
  <si>
    <t>h. Puchero</t>
  </si>
  <si>
    <t>i. Las marquesas</t>
  </si>
  <si>
    <t>j. Arroz con Leche </t>
  </si>
  <si>
    <t>k. Ns/Nr</t>
  </si>
  <si>
    <t>301.b.1¿Cuál?</t>
  </si>
  <si>
    <t>M3P302.¿Cuál es su lugar de residencia habitual?</t>
  </si>
  <si>
    <t>a. Ninguna</t>
  </si>
  <si>
    <t>b. Barranquilla</t>
  </si>
  <si>
    <t>c. Cali</t>
  </si>
  <si>
    <t>d. Cartagena</t>
  </si>
  <si>
    <t>e. Medellín</t>
  </si>
  <si>
    <t>f. Santa Marta</t>
  </si>
  <si>
    <t xml:space="preserve">g. Otro </t>
  </si>
  <si>
    <t>a. Vehículo por plataforma digital</t>
  </si>
  <si>
    <t>b. Vehículo de alquiler y/o turismo</t>
  </si>
  <si>
    <t>c. Vehículo de familiares o amigos</t>
  </si>
  <si>
    <t>d. Sistema Integrado de Transporte</t>
  </si>
  <si>
    <t xml:space="preserve">e. Transporte en taxi </t>
  </si>
  <si>
    <t>f. Bicicleta</t>
  </si>
  <si>
    <t>g. Otro</t>
  </si>
  <si>
    <t>b. Dólares</t>
  </si>
  <si>
    <t>c. Euros</t>
  </si>
  <si>
    <t>a. Alojamiento</t>
  </si>
  <si>
    <t>b. Alimentación (A&amp;B)</t>
  </si>
  <si>
    <t>c. Transporte interno</t>
  </si>
  <si>
    <t>d. Servicios culturales y recreacionales</t>
  </si>
  <si>
    <t>e. Bienes de uso personal</t>
  </si>
  <si>
    <t>f. Otro</t>
  </si>
  <si>
    <t>b. Naturaleza (Ecoturismo, Avistamiento, Aventura)</t>
  </si>
  <si>
    <t>c. Tipo Rural, Comunitario o Social</t>
  </si>
  <si>
    <t>d. Bienestar (preventivas, proactivas y de mejora del estilo de vida)</t>
  </si>
  <si>
    <t>e. Tipo médico (invasivos o no invasivos: diagnóstico, tratamiento, cura, preven</t>
  </si>
  <si>
    <t>f. Negocios (motivo profesional y/o de negocio, capacitación laboral)</t>
  </si>
  <si>
    <t xml:space="preserve">g. Gastronómico (experiencia vinculada a la comida, enoturismo y catas café) </t>
  </si>
  <si>
    <t>h. Urbano (bicicleta, compras, rumba, grafiti)</t>
  </si>
  <si>
    <t>i. Educativo (aprendizaje en general)</t>
  </si>
  <si>
    <t>j. Deportivo (Carreras, golf)</t>
  </si>
  <si>
    <t>k. De Compras (centros comerciales, Pasajes Comerciales)</t>
  </si>
  <si>
    <t xml:space="preserve">d. Centro Histórico de La Candelaría </t>
  </si>
  <si>
    <t>p. Pasaje Rivas</t>
  </si>
  <si>
    <t>q. Corferias</t>
  </si>
  <si>
    <t>r. Agora</t>
  </si>
  <si>
    <t>s. Centros comerciales</t>
  </si>
  <si>
    <t>t. Otro</t>
  </si>
  <si>
    <t>M6P603.¿Realizo un stopover o una parada voluntaria?</t>
  </si>
  <si>
    <t>a. Se sintió seguro y protegido durante la visita a la ciudad</t>
  </si>
  <si>
    <t xml:space="preserve">b. La movilidad en Bogotá es fácil </t>
  </si>
  <si>
    <t>f. Su experiencia en el destino fue positiva</t>
  </si>
  <si>
    <t>g. La relación calidad-precio de los servicios adquiridos fue buena</t>
  </si>
  <si>
    <t>b. El trato por parte de los residentes fue amable y respetuoso</t>
  </si>
  <si>
    <t>c. A su juicio, la ciudad estaba limpia</t>
  </si>
  <si>
    <t>e. La calidad percibida del aire fue buena</t>
  </si>
  <si>
    <t>f. Le molestó el ruido en general percibido en la ciudad</t>
  </si>
  <si>
    <t>Mes de la Encuesta</t>
  </si>
  <si>
    <t>valores validos: (Si, No)</t>
  </si>
  <si>
    <t>¿Vive usted en Bogotá?</t>
  </si>
  <si>
    <t>¿Cuál es su lugar de visita?</t>
  </si>
  <si>
    <t>valores validos: (1 - a. Nacional, 2 - b. Internacional)</t>
  </si>
  <si>
    <t>valores validos: Departamento de Colombia según DIVIPOLA</t>
  </si>
  <si>
    <t>valores validos: países</t>
  </si>
  <si>
    <t>valores validos:
(1 - a. Vacaciones/recreación/Ocio  , 
2 - b. Visita a familiares y amigos, 
3- c. Educación y formación, 
4 - d. Salud y atención médica, 
5 - e. Religión/Peregrinaciones,
6 - f. Compras, 
7 - g. Negocios y motivos profesionales, 
8 - h. Trabajo remunerado en otra ciudad, 
9 - i. Otro)</t>
  </si>
  <si>
    <t>¿Cuál es la principal razón o motivo de su viaje?</t>
  </si>
  <si>
    <t>¿Cuál fue su sexo al nacer?</t>
  </si>
  <si>
    <t>valores validos: 
(1 - a. Masculino, 
2 - b. Femenino, 
3-c. Intersexual
4-d. NS/NR)</t>
  </si>
  <si>
    <t xml:space="preserve">Valores validos: Mayores o iguales a 18. </t>
  </si>
  <si>
    <t>¿Cuál es su edad?</t>
  </si>
  <si>
    <t>¿Cuánto dinero piensa gastar en este viaje, excluyendo los gastos en tiquetes o pasajes? (Incluyendo a todos los integrantes del grupo)</t>
  </si>
  <si>
    <t>valores validos: (1 - a. Pesos  , 2 - b. Dólares, 3- c. Euros, 4 - d. No piensa Gastar, 5 - e. Ns/Nr)</t>
  </si>
  <si>
    <t>$</t>
  </si>
  <si>
    <t>USD</t>
  </si>
  <si>
    <t>EUR</t>
  </si>
  <si>
    <t>¿Cuántas noches piensa dormir fuera de la ciudad?</t>
  </si>
  <si>
    <t>valores validos: (1 - a. Ninguna Noche, 2 - b. Más de una noche)</t>
  </si>
  <si>
    <t>valores validos: (1 noche- 180 noches)</t>
  </si>
  <si>
    <t>¿Dónde piensa alojarse la mayor parte del tiempo?</t>
  </si>
  <si>
    <t>¿Incluyéndolo a usted, con cuántas personas viaja?</t>
  </si>
  <si>
    <t>Valores Validos: 
(1-a. Hotel 					
2-b. Hostal
3-c. Plataformas digitales (AIRBNB)
4-d. Casa propia, de familiares o amigos (sin pago)
5-e. Apartahotel
6-f. Otro)</t>
  </si>
  <si>
    <t>Indique su lugar de Nacimiento</t>
  </si>
  <si>
    <t>valores validos: (1 - a. Nacional, 2 - b. Internacional, 3-c. NS/NR)</t>
  </si>
  <si>
    <t>¿Cuál es el principal actividad o motivo por el que vive en Bogotá?</t>
  </si>
  <si>
    <t>Valores Validos: (a. Trabajo
b. Estudio
c. Familia
d. Otro. 
e. Lugar de nacimiento de Bogotá)</t>
  </si>
  <si>
    <t>Valores Validos: (a. Menos de 1 año
b. 1 a 5 años
c. 5 a 10 años
d. Más de 10 años)</t>
  </si>
  <si>
    <t>¿Cuánto lleva viviendo en la ciudad?</t>
  </si>
  <si>
    <t>Valores Validos: (a. Barranquilla
c. Cali
d. Cartagena
e. Medellín
f. Santa Marta
g. Otro)</t>
  </si>
  <si>
    <t xml:space="preserve">¿Considera que Bogotá es un destino turístico?  </t>
  </si>
  <si>
    <t>¿Cuál considera que es el principal destino turístico de Colombia?</t>
  </si>
  <si>
    <t xml:space="preserve">¿Cuál? </t>
  </si>
  <si>
    <t xml:space="preserve">Indique “Sí” o “No”, considera que en Bogotá se pueden hacer las siguientes actividades de Turismo: </t>
  </si>
  <si>
    <t>valores validos: (Si, No, NS/NR)</t>
  </si>
  <si>
    <t>¿Cuáles son sus lugares favoritos para disfrutar del tiempo libre en Bogotá?</t>
  </si>
  <si>
    <t>Valores validos: (X - a. Museo del Oro)</t>
  </si>
  <si>
    <t>Valores validos: (X - b. Cerro /Santuario de Monserrate)</t>
  </si>
  <si>
    <t>Valores validos: (X - c. Plaza del Chorro de Quevedo)</t>
  </si>
  <si>
    <t>Valores validos: (X - d. Centro Histórico de La Candelaria )</t>
  </si>
  <si>
    <t>Valores validos: (X - e. Plaza de Bolívar)</t>
  </si>
  <si>
    <t>Valores validos: (X - f. Jardín Botánico)</t>
  </si>
  <si>
    <t>Valores validos: (X - g. Plaza de Mercado Paloquemao )</t>
  </si>
  <si>
    <t>Valores validos: (X - h. Plaza de Mercado La Concordia)</t>
  </si>
  <si>
    <t>Valores validos: (X - i. Zona T)</t>
  </si>
  <si>
    <t>Valores validos: (X - j. Zona G)</t>
  </si>
  <si>
    <t>Valores validos: (X - k. Parque Simón Bolívar)</t>
  </si>
  <si>
    <t>Valores validos: (X - l. Museo de Botero)</t>
  </si>
  <si>
    <t>Valores validos: (X - m. Teatro Colón)</t>
  </si>
  <si>
    <t>Valores validos: (X - n.  Biblioteca Virgilio Barco)</t>
  </si>
  <si>
    <t>Valores validos: (X - o. Plaza Fundacional de Usaquén)</t>
  </si>
  <si>
    <t>Valores validos: (X - p. Quiba (rural))</t>
  </si>
  <si>
    <t>Valores validos: (X - q. Usme (rural))</t>
  </si>
  <si>
    <t>Valores validos: (X - r. Otro )</t>
  </si>
  <si>
    <t>Valores validos: (X - ¿Cuál?)</t>
  </si>
  <si>
    <t>Valores Validos: (I. Lo he visitado
II. Lo he escuchado , pero no lo he visitado
III. No sabía que existía)</t>
  </si>
  <si>
    <t>Sobre los siguientes atractivos turísticos, indique: I Lo he Visitado, I</t>
  </si>
  <si>
    <t>solo para el encuestador (De las anteriores preguntas indique)</t>
  </si>
  <si>
    <t>Valores Validos: (a. La fuente marco aunque sea un "I. Lo he visitado "
b.  La fuente marco aunque sea un "II. Lo he escuchado , pero no lo he visitado" 
c.  La fuente marco Todos "III. No sabía que existía")</t>
  </si>
  <si>
    <t>Valores Validos: (a. Falta de interes por parte de los resientes
b. Falta de promoción y visibilidad
c. Falta de información de como llegar
d. Inseguridad
e. Falta información accesible para su reconocimiento y apropiación.)</t>
  </si>
  <si>
    <t>De los atractivos visitados o escuchados, ¿Cuál cree que es la principa</t>
  </si>
  <si>
    <t>Por favor indique el nombre del plato típico característico de Bogotá</t>
  </si>
  <si>
    <t xml:space="preserve">Si tuviera que describir a Bogotá con una palabra, ¿Cuál usaría? </t>
  </si>
  <si>
    <t>Por favor indique “De acuerdo” o “En desacuerdo” frente a las siguientes afirmaciones:</t>
  </si>
  <si>
    <t>valores validos: (De acuerdo, En desacuerdo, NS/NR)</t>
  </si>
  <si>
    <t>a. En Bogotá, acogemos a turistas y visitantes con respeto, tolerancia, amabilidad y empatía.</t>
  </si>
  <si>
    <t>b. En Bogotá, valoramos y preservamos el patrimonio natural y cultural de la ciudad y su espacio público.</t>
  </si>
  <si>
    <t>c. En Bogotá, consumimos y recomendamos a los turistas y visitantes la compra de productos locales.</t>
  </si>
  <si>
    <t>d. En Bogotá, respetamos el uso prioritario de espacios y servicios para personas con necesidades particulares de accesibilidad.</t>
  </si>
  <si>
    <t>e. En Bogotá, rechazamos y denunciamos la Trata de personas y la Explotación sexual comercial de niñas, niños o adolescentes.</t>
  </si>
  <si>
    <t>¿Recomendaría a un turista nacional o internacional visitar Bogotá?</t>
  </si>
  <si>
    <t>¿Por qué?</t>
  </si>
  <si>
    <t>Indique si su nacionalidad es colombiana</t>
  </si>
  <si>
    <t>valores validos: nacionalidades</t>
  </si>
  <si>
    <t>Valores Validos: (a. Solo
b. Familia
c. Pareja
d. Amigos
e. Compañero de trabajo y/o estudio
f. Otro)</t>
  </si>
  <si>
    <t>¿Con quién viaja?</t>
  </si>
  <si>
    <t>¿Usted se reconoce como?</t>
  </si>
  <si>
    <t>Valores Validos: (a. Hombre
b. Mujer
c. Persona no binaria (ni hombre, ni mujer)
d. Prefiero definirme de otra manera)</t>
  </si>
  <si>
    <t>¿Usted tiene alguna discapacidad?</t>
  </si>
  <si>
    <t>Valores Validos: (a. Física
b.Visual
c. Auditiva
d. Intelectual  –  cognitiva
e. Mental – psicosocial
f. Múltiple
g. Sordoceguera )</t>
  </si>
  <si>
    <t>Valores validos: 
(1 - a. Primaria , 
2 - b. Secundaria, 
3 - c. Técnico o Tecnológico , 
4 - d. Profesional universitario , 
5 - e. Estudios de posgrado , 
6 - f. Ninguno)</t>
  </si>
  <si>
    <t>Valores validos: 
(1 - a. Empleado, 
2 - b. Patrón o empleador, 
3 - c. Trabajador independiente, 
4 - d. Oficios del hogar, 
5 - e. Rentista y/o pensionado, 
6 - f. Estudiante, 
7 - g. Otro)</t>
  </si>
  <si>
    <t xml:space="preserve">¿Cuál tipo? </t>
  </si>
  <si>
    <t>¿Cuál es su nivel educativo?</t>
  </si>
  <si>
    <t>¿Actualmente cuál es su principal ocupación?</t>
  </si>
  <si>
    <t>¿Cual?</t>
  </si>
  <si>
    <t>Valores Validos: (a. Indígena
b. Gitano(a) o Rrom
c. Raizal del archipielago de San Andrés, Providencia y Santa Catalina
d. Palenquero(a) de San Basilio
e. Negro(a), mulato(a), afrodescendiente, afrocolombiano(a)
f. Ningún grupo étnico
g. No sabe / no responde)</t>
  </si>
  <si>
    <t>¿De acuerdo con su cultura, pueblo, rasgos físicos ? es o se reconoce com</t>
  </si>
  <si>
    <t>Valores Validos: (a. Vacaciones/recreación/ocio 
b. Visita a familiares y amigos
c. Educación y formación
d. Salud, bienestar y atención médica
e. Religión/Peregrinaciones
f. Compras
g. Negocios y motivos profesionales
h. Trabajo remunerado en Bogotá
i. Conexión
j. Otro motivo)</t>
  </si>
  <si>
    <t>Asistencia a congresos, ferias y convenciones</t>
  </si>
  <si>
    <t>Otros negocios y motivos profesionales</t>
  </si>
  <si>
    <t>¿Cuál es el tipo de evento al que asistió?</t>
  </si>
  <si>
    <t>Valores Validos: (a. Convención o reunión corporativa o de negocios 
b. Congreso de asociación 
c. Feria o Exposición Comercial
d. Evento de Incentivo
e. Otro)</t>
  </si>
  <si>
    <t>¿Cuántos día(s) duro el evento?</t>
  </si>
  <si>
    <t>¿Cuánto fue el valor de la entrada que pagó al evento?</t>
  </si>
  <si>
    <t>Indique que otra(s) ciudades piensa visitar a parte de Bogotá, durante es</t>
  </si>
  <si>
    <t>¿Es ésta su primera visita a Bogotá?</t>
  </si>
  <si>
    <t>¿Qué lo motivo a venir nuevamente?</t>
  </si>
  <si>
    <t>¿Durmió por lo menos una noche en Bogotá?</t>
  </si>
  <si>
    <t>Valores Validos: (a. Hotel 
b. Hostal
c. Apartahotel
d.  Plataformas digitales (AIRBNB)
e. Casa propia, de familiares o amigos (sin pago)
f. Otro)</t>
  </si>
  <si>
    <t>¿En cuál localidad se alojó la mayor parte del tiempo?</t>
  </si>
  <si>
    <t>Valores Validos: Localidades</t>
  </si>
  <si>
    <t>¿Qué medio de transporte utilizó durante su visita en Bogotá?</t>
  </si>
  <si>
    <t>¿Cuántas noches durmió en Bogotá?</t>
  </si>
  <si>
    <t>¿Cuánto dinero gastó en este viaje a Bogotá, excluyendo los gastos en tiquetes o pasajes? (Incluyendo a todos los integrantes del grupo)</t>
  </si>
  <si>
    <t>Indique en términos de porcentaje en qué se vio representado su gasto (recuerde que la suma debe ser 100%)</t>
  </si>
  <si>
    <t>¿Dónde se alojó la mayor parte del tiempo?</t>
  </si>
  <si>
    <t>Valores Válidos: 0.0 a 100.0</t>
  </si>
  <si>
    <t>valores validos: (1 - a. Pesos  , 2 - b. Dólares, 3- c. Euros, 4 - d. No piensa Gastar, )</t>
  </si>
  <si>
    <t>Durante su estadía en la ciudad indique si realizó actividades de</t>
  </si>
  <si>
    <t>¿Cual(es)?</t>
  </si>
  <si>
    <t>¿Cuántas horas duro la conexión?</t>
  </si>
  <si>
    <t>Valores validos: Meses</t>
  </si>
  <si>
    <t>Indique qué sitios visito en la ciudad</t>
  </si>
  <si>
    <t>¿Durante el periodo de espera de su conexión salió del aeropuerto o terminal?</t>
  </si>
  <si>
    <t>¿Qué actividades realizo durante su stopover o una parada voluntaria?</t>
  </si>
  <si>
    <t>¿Ha visitado alguna vez a Bogotá?</t>
  </si>
  <si>
    <t>¿Su visita fue hace?</t>
  </si>
  <si>
    <t>¿En su visita Durmió por lo menos una noche en Bogotá?</t>
  </si>
  <si>
    <t xml:space="preserve">De acuerdo con su experiencia en el destino indique para cada enunciado </t>
  </si>
  <si>
    <t>c. La ciudad cuenta con información, entornos, y oferta de servicios de turismo accesibles (rampas, baños, señalización, etc.)</t>
  </si>
  <si>
    <t xml:space="preserve">d. Durante su visita percibió/contrató productos y servicios turísticos innovadores  
</t>
  </si>
  <si>
    <t>e. En Bogotá se preserva la cultura local y se fomenta prácticas turísticas sostenibles y responsables</t>
  </si>
  <si>
    <t>d. El personal que lo atendió durante su visita a la ciudad fue competente y atento</t>
  </si>
  <si>
    <t>a. Bogotá es un destino que respeta las orientaciones sexuales e identidades de género de sus visitantes</t>
  </si>
  <si>
    <t>¿Volvería a visitar de nuevo  la ciudad de Bogotá?</t>
  </si>
  <si>
    <t>¿Visito alguna infraestructura turística accesible?</t>
  </si>
  <si>
    <t>¿Utilizo algún medio de transporte accesible?</t>
  </si>
  <si>
    <t>a. Bogotá es un destino que respeta su condición de discapacidad, cuidadora o cuidador de  una persona con discapacidad, niña, niño  o persona mayor</t>
  </si>
  <si>
    <t>valores validos: (a. Menos de 1 año, b. Más de un año, NS/NR)</t>
  </si>
  <si>
    <t xml:space="preserve">Valores Validos: (Totalmente en desacuerdo
Ni de acuerdo ni en desacuerdo
Totalmente de acuerdo)	</t>
  </si>
  <si>
    <t>valores validos: (Si, No,  NS/NR)</t>
  </si>
  <si>
    <t>valores validos: (Si, No, No estoy seguro, NS/NR)</t>
  </si>
  <si>
    <t>De acuerdo con su experiencia en el destino indique para cada enunciado si esta totalmente de desacuerdo (1), ni de acuerdo ni en desacuerdo (2), o totalmente de acuerdo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</si>
</sst>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Normal 2" xfId="1" xr:uid="{68B34F0D-BE3B-4C71-B53B-C12780795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tabSelected="1" topLeftCell="A209" workbookViewId="0">
      <selection activeCell="A2" sqref="A2:C219"/>
    </sheetView>
  </sheetViews>
  <sheetFormatPr baseColWidth="10" defaultColWidth="8.88671875" defaultRowHeight="14.4" x14ac:dyDescent="0.3"/>
  <cols>
    <col min="1" max="1" width="33.88671875" customWidth="1"/>
    <col min="2" max="2" width="49.109375" customWidth="1"/>
    <col min="3" max="3" width="44.88671875" customWidth="1"/>
  </cols>
  <sheetData>
    <row r="1" spans="1:3" ht="56.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4" t="s">
        <v>3</v>
      </c>
      <c r="B2" s="4" t="s">
        <v>3</v>
      </c>
      <c r="C2" s="4"/>
    </row>
    <row r="3" spans="1:3" ht="15" x14ac:dyDescent="0.3">
      <c r="A3" s="4" t="s">
        <v>4</v>
      </c>
      <c r="B3" s="4" t="s">
        <v>328</v>
      </c>
      <c r="C3" s="2" t="s">
        <v>327</v>
      </c>
    </row>
    <row r="4" spans="1:3" ht="30" x14ac:dyDescent="0.3">
      <c r="A4" s="4" t="s">
        <v>5</v>
      </c>
      <c r="B4" s="4" t="s">
        <v>329</v>
      </c>
      <c r="C4" s="2" t="s">
        <v>330</v>
      </c>
    </row>
    <row r="5" spans="1:3" ht="30" x14ac:dyDescent="0.3">
      <c r="A5" s="4" t="s">
        <v>6</v>
      </c>
      <c r="B5" s="4" t="s">
        <v>221</v>
      </c>
      <c r="C5" s="2" t="s">
        <v>331</v>
      </c>
    </row>
    <row r="6" spans="1:3" ht="15" x14ac:dyDescent="0.3">
      <c r="A6" s="4" t="s">
        <v>7</v>
      </c>
      <c r="B6" s="4" t="s">
        <v>222</v>
      </c>
      <c r="C6" s="2" t="s">
        <v>332</v>
      </c>
    </row>
    <row r="7" spans="1:3" ht="150" x14ac:dyDescent="0.3">
      <c r="A7" s="4" t="s">
        <v>8</v>
      </c>
      <c r="B7" s="4" t="s">
        <v>334</v>
      </c>
      <c r="C7" s="2" t="s">
        <v>333</v>
      </c>
    </row>
    <row r="8" spans="1:3" x14ac:dyDescent="0.3">
      <c r="A8" s="4" t="s">
        <v>9</v>
      </c>
      <c r="B8" s="4" t="s">
        <v>223</v>
      </c>
      <c r="C8" s="4"/>
    </row>
    <row r="9" spans="1:3" ht="75" x14ac:dyDescent="0.3">
      <c r="A9" s="4" t="s">
        <v>10</v>
      </c>
      <c r="B9" s="4" t="s">
        <v>335</v>
      </c>
      <c r="C9" s="2" t="s">
        <v>336</v>
      </c>
    </row>
    <row r="10" spans="1:3" ht="15" x14ac:dyDescent="0.3">
      <c r="A10" s="4" t="s">
        <v>11</v>
      </c>
      <c r="B10" s="4" t="s">
        <v>338</v>
      </c>
      <c r="C10" s="3" t="s">
        <v>337</v>
      </c>
    </row>
    <row r="11" spans="1:3" ht="43.2" x14ac:dyDescent="0.3">
      <c r="A11" s="4" t="s">
        <v>12</v>
      </c>
      <c r="B11" s="4" t="s">
        <v>339</v>
      </c>
      <c r="C11" s="2" t="s">
        <v>340</v>
      </c>
    </row>
    <row r="12" spans="1:3" ht="15" x14ac:dyDescent="0.3">
      <c r="A12" s="4" t="s">
        <v>13</v>
      </c>
      <c r="B12" s="4" t="s">
        <v>224</v>
      </c>
      <c r="C12" s="2" t="s">
        <v>341</v>
      </c>
    </row>
    <row r="13" spans="1:3" ht="15" x14ac:dyDescent="0.3">
      <c r="A13" s="4" t="s">
        <v>14</v>
      </c>
      <c r="B13" s="4" t="s">
        <v>225</v>
      </c>
      <c r="C13" s="2" t="s">
        <v>342</v>
      </c>
    </row>
    <row r="14" spans="1:3" ht="15" x14ac:dyDescent="0.3">
      <c r="A14" s="4" t="s">
        <v>15</v>
      </c>
      <c r="B14" s="4" t="s">
        <v>226</v>
      </c>
      <c r="C14" s="2" t="s">
        <v>343</v>
      </c>
    </row>
    <row r="15" spans="1:3" ht="30" x14ac:dyDescent="0.3">
      <c r="A15" s="4" t="s">
        <v>16</v>
      </c>
      <c r="B15" s="4" t="s">
        <v>344</v>
      </c>
      <c r="C15" s="2" t="s">
        <v>345</v>
      </c>
    </row>
    <row r="16" spans="1:3" ht="15" x14ac:dyDescent="0.3">
      <c r="A16" s="4" t="s">
        <v>17</v>
      </c>
      <c r="B16" s="4" t="s">
        <v>227</v>
      </c>
      <c r="C16" s="2" t="s">
        <v>346</v>
      </c>
    </row>
    <row r="17" spans="1:3" ht="105" x14ac:dyDescent="0.3">
      <c r="A17" s="4" t="s">
        <v>18</v>
      </c>
      <c r="B17" s="4" t="s">
        <v>347</v>
      </c>
      <c r="C17" s="2" t="s">
        <v>349</v>
      </c>
    </row>
    <row r="18" spans="1:3" x14ac:dyDescent="0.3">
      <c r="A18" s="4" t="s">
        <v>19</v>
      </c>
      <c r="B18" s="4" t="s">
        <v>348</v>
      </c>
      <c r="C18" s="4"/>
    </row>
    <row r="19" spans="1:3" ht="30" x14ac:dyDescent="0.3">
      <c r="A19" s="4" t="s">
        <v>20</v>
      </c>
      <c r="B19" s="4" t="s">
        <v>350</v>
      </c>
      <c r="C19" s="2" t="s">
        <v>351</v>
      </c>
    </row>
    <row r="20" spans="1:3" ht="30" x14ac:dyDescent="0.3">
      <c r="A20" s="4" t="s">
        <v>21</v>
      </c>
      <c r="B20" s="4" t="s">
        <v>221</v>
      </c>
      <c r="C20" s="2" t="s">
        <v>331</v>
      </c>
    </row>
    <row r="21" spans="1:3" ht="15" x14ac:dyDescent="0.3">
      <c r="A21" s="4" t="s">
        <v>22</v>
      </c>
      <c r="B21" s="4" t="s">
        <v>228</v>
      </c>
      <c r="C21" s="2" t="s">
        <v>332</v>
      </c>
    </row>
    <row r="22" spans="1:3" ht="75" x14ac:dyDescent="0.3">
      <c r="A22" s="4" t="s">
        <v>23</v>
      </c>
      <c r="B22" s="4" t="s">
        <v>352</v>
      </c>
      <c r="C22" s="2" t="s">
        <v>353</v>
      </c>
    </row>
    <row r="23" spans="1:3" x14ac:dyDescent="0.3">
      <c r="A23" s="4" t="s">
        <v>24</v>
      </c>
      <c r="B23" s="4" t="s">
        <v>359</v>
      </c>
      <c r="C23" s="4"/>
    </row>
    <row r="24" spans="1:3" ht="60" x14ac:dyDescent="0.3">
      <c r="A24" s="4" t="s">
        <v>25</v>
      </c>
      <c r="B24" s="4" t="s">
        <v>355</v>
      </c>
      <c r="C24" s="2" t="s">
        <v>354</v>
      </c>
    </row>
    <row r="25" spans="1:3" ht="15" x14ac:dyDescent="0.3">
      <c r="A25" s="4" t="s">
        <v>26</v>
      </c>
      <c r="B25" s="4" t="s">
        <v>357</v>
      </c>
      <c r="C25" s="2" t="s">
        <v>327</v>
      </c>
    </row>
    <row r="26" spans="1:3" ht="90" x14ac:dyDescent="0.3">
      <c r="A26" s="4" t="s">
        <v>27</v>
      </c>
      <c r="B26" s="4" t="s">
        <v>358</v>
      </c>
      <c r="C26" s="2" t="s">
        <v>356</v>
      </c>
    </row>
    <row r="27" spans="1:3" x14ac:dyDescent="0.3">
      <c r="A27" s="4" t="s">
        <v>28</v>
      </c>
      <c r="B27" s="4" t="s">
        <v>223</v>
      </c>
      <c r="C27" s="4"/>
    </row>
    <row r="28" spans="1:3" ht="28.8" x14ac:dyDescent="0.3">
      <c r="A28" s="4" t="s">
        <v>29</v>
      </c>
      <c r="B28" s="4" t="s">
        <v>360</v>
      </c>
      <c r="C28" s="4"/>
    </row>
    <row r="29" spans="1:3" ht="15" x14ac:dyDescent="0.3">
      <c r="A29" s="4" t="s">
        <v>30</v>
      </c>
      <c r="B29" s="4" t="s">
        <v>229</v>
      </c>
      <c r="C29" s="2" t="s">
        <v>361</v>
      </c>
    </row>
    <row r="30" spans="1:3" ht="15" x14ac:dyDescent="0.3">
      <c r="A30" s="4" t="s">
        <v>31</v>
      </c>
      <c r="B30" s="4" t="s">
        <v>230</v>
      </c>
      <c r="C30" s="2" t="s">
        <v>361</v>
      </c>
    </row>
    <row r="31" spans="1:3" ht="28.8" x14ac:dyDescent="0.3">
      <c r="A31" s="4" t="s">
        <v>32</v>
      </c>
      <c r="B31" s="4" t="s">
        <v>231</v>
      </c>
      <c r="C31" s="2" t="s">
        <v>361</v>
      </c>
    </row>
    <row r="32" spans="1:3" ht="15" x14ac:dyDescent="0.3">
      <c r="A32" s="4" t="s">
        <v>33</v>
      </c>
      <c r="B32" s="4" t="s">
        <v>232</v>
      </c>
      <c r="C32" s="2" t="s">
        <v>361</v>
      </c>
    </row>
    <row r="33" spans="1:3" ht="15" x14ac:dyDescent="0.3">
      <c r="A33" s="4" t="s">
        <v>34</v>
      </c>
      <c r="B33" s="4" t="s">
        <v>233</v>
      </c>
      <c r="C33" s="2" t="s">
        <v>361</v>
      </c>
    </row>
    <row r="34" spans="1:3" ht="15" x14ac:dyDescent="0.3">
      <c r="A34" s="4" t="s">
        <v>35</v>
      </c>
      <c r="B34" s="4" t="s">
        <v>234</v>
      </c>
      <c r="C34" s="2" t="s">
        <v>361</v>
      </c>
    </row>
    <row r="35" spans="1:3" ht="28.8" x14ac:dyDescent="0.3">
      <c r="A35" s="4" t="s">
        <v>36</v>
      </c>
      <c r="B35" s="4" t="s">
        <v>235</v>
      </c>
      <c r="C35" s="2" t="s">
        <v>361</v>
      </c>
    </row>
    <row r="36" spans="1:3" ht="28.8" x14ac:dyDescent="0.3">
      <c r="A36" s="4" t="s">
        <v>37</v>
      </c>
      <c r="B36" s="4" t="s">
        <v>236</v>
      </c>
      <c r="C36" s="2" t="s">
        <v>361</v>
      </c>
    </row>
    <row r="37" spans="1:3" ht="28.8" x14ac:dyDescent="0.3">
      <c r="A37" s="4" t="s">
        <v>38</v>
      </c>
      <c r="B37" s="4" t="s">
        <v>237</v>
      </c>
      <c r="C37" s="2" t="s">
        <v>361</v>
      </c>
    </row>
    <row r="38" spans="1:3" ht="15" x14ac:dyDescent="0.3">
      <c r="A38" s="4" t="s">
        <v>39</v>
      </c>
      <c r="B38" s="4" t="s">
        <v>238</v>
      </c>
      <c r="C38" s="2" t="s">
        <v>361</v>
      </c>
    </row>
    <row r="39" spans="1:3" x14ac:dyDescent="0.3">
      <c r="A39" s="4" t="s">
        <v>40</v>
      </c>
      <c r="B39" s="4" t="s">
        <v>223</v>
      </c>
      <c r="C39" s="4"/>
    </row>
    <row r="40" spans="1:3" ht="28.8" x14ac:dyDescent="0.3">
      <c r="A40" s="4" t="s">
        <v>41</v>
      </c>
      <c r="B40" s="4" t="s">
        <v>362</v>
      </c>
      <c r="C40" s="4"/>
    </row>
    <row r="41" spans="1:3" x14ac:dyDescent="0.3">
      <c r="A41" s="4" t="s">
        <v>42</v>
      </c>
      <c r="B41" s="4" t="s">
        <v>239</v>
      </c>
      <c r="C41" s="4" t="s">
        <v>363</v>
      </c>
    </row>
    <row r="42" spans="1:3" ht="28.8" x14ac:dyDescent="0.3">
      <c r="A42" s="4" t="s">
        <v>43</v>
      </c>
      <c r="B42" s="4" t="s">
        <v>240</v>
      </c>
      <c r="C42" s="4" t="s">
        <v>364</v>
      </c>
    </row>
    <row r="43" spans="1:3" x14ac:dyDescent="0.3">
      <c r="A43" s="4" t="s">
        <v>44</v>
      </c>
      <c r="B43" s="4" t="s">
        <v>241</v>
      </c>
      <c r="C43" s="4" t="s">
        <v>365</v>
      </c>
    </row>
    <row r="44" spans="1:3" ht="28.8" x14ac:dyDescent="0.3">
      <c r="A44" s="4" t="s">
        <v>45</v>
      </c>
      <c r="B44" s="4" t="s">
        <v>242</v>
      </c>
      <c r="C44" s="4" t="s">
        <v>366</v>
      </c>
    </row>
    <row r="45" spans="1:3" x14ac:dyDescent="0.3">
      <c r="A45" s="4" t="s">
        <v>46</v>
      </c>
      <c r="B45" s="4" t="s">
        <v>243</v>
      </c>
      <c r="C45" s="4" t="s">
        <v>367</v>
      </c>
    </row>
    <row r="46" spans="1:3" x14ac:dyDescent="0.3">
      <c r="A46" s="4" t="s">
        <v>47</v>
      </c>
      <c r="B46" s="4" t="s">
        <v>244</v>
      </c>
      <c r="C46" s="4" t="s">
        <v>368</v>
      </c>
    </row>
    <row r="47" spans="1:3" ht="28.8" x14ac:dyDescent="0.3">
      <c r="A47" s="4" t="s">
        <v>48</v>
      </c>
      <c r="B47" s="4" t="s">
        <v>245</v>
      </c>
      <c r="C47" s="4" t="s">
        <v>369</v>
      </c>
    </row>
    <row r="48" spans="1:3" ht="28.8" x14ac:dyDescent="0.3">
      <c r="A48" s="4" t="s">
        <v>49</v>
      </c>
      <c r="B48" s="4" t="s">
        <v>246</v>
      </c>
      <c r="C48" s="4" t="s">
        <v>370</v>
      </c>
    </row>
    <row r="49" spans="1:3" x14ac:dyDescent="0.3">
      <c r="A49" s="4" t="s">
        <v>50</v>
      </c>
      <c r="B49" s="4" t="s">
        <v>247</v>
      </c>
      <c r="C49" s="4" t="s">
        <v>371</v>
      </c>
    </row>
    <row r="50" spans="1:3" x14ac:dyDescent="0.3">
      <c r="A50" s="4" t="s">
        <v>51</v>
      </c>
      <c r="B50" s="4" t="s">
        <v>248</v>
      </c>
      <c r="C50" s="4" t="s">
        <v>372</v>
      </c>
    </row>
    <row r="51" spans="1:3" x14ac:dyDescent="0.3">
      <c r="A51" s="4" t="s">
        <v>52</v>
      </c>
      <c r="B51" s="4" t="s">
        <v>249</v>
      </c>
      <c r="C51" s="4" t="s">
        <v>373</v>
      </c>
    </row>
    <row r="52" spans="1:3" x14ac:dyDescent="0.3">
      <c r="A52" s="4" t="s">
        <v>53</v>
      </c>
      <c r="B52" s="4" t="s">
        <v>250</v>
      </c>
      <c r="C52" s="4" t="s">
        <v>374</v>
      </c>
    </row>
    <row r="53" spans="1:3" x14ac:dyDescent="0.3">
      <c r="A53" s="4" t="s">
        <v>54</v>
      </c>
      <c r="B53" s="4" t="s">
        <v>251</v>
      </c>
      <c r="C53" s="4" t="s">
        <v>375</v>
      </c>
    </row>
    <row r="54" spans="1:3" x14ac:dyDescent="0.3">
      <c r="A54" s="4" t="s">
        <v>55</v>
      </c>
      <c r="B54" s="4" t="s">
        <v>252</v>
      </c>
      <c r="C54" s="4" t="s">
        <v>376</v>
      </c>
    </row>
    <row r="55" spans="1:3" ht="28.8" x14ac:dyDescent="0.3">
      <c r="A55" s="4" t="s">
        <v>56</v>
      </c>
      <c r="B55" s="4" t="s">
        <v>253</v>
      </c>
      <c r="C55" s="4" t="s">
        <v>377</v>
      </c>
    </row>
    <row r="56" spans="1:3" x14ac:dyDescent="0.3">
      <c r="A56" s="4" t="s">
        <v>57</v>
      </c>
      <c r="B56" s="4" t="s">
        <v>254</v>
      </c>
      <c r="C56" s="4" t="s">
        <v>378</v>
      </c>
    </row>
    <row r="57" spans="1:3" x14ac:dyDescent="0.3">
      <c r="A57" s="4" t="s">
        <v>58</v>
      </c>
      <c r="B57" s="4" t="s">
        <v>255</v>
      </c>
      <c r="C57" s="4" t="s">
        <v>379</v>
      </c>
    </row>
    <row r="58" spans="1:3" x14ac:dyDescent="0.3">
      <c r="A58" s="4" t="s">
        <v>59</v>
      </c>
      <c r="B58" s="4" t="s">
        <v>256</v>
      </c>
      <c r="C58" s="4" t="s">
        <v>380</v>
      </c>
    </row>
    <row r="59" spans="1:3" x14ac:dyDescent="0.3">
      <c r="A59" s="4" t="s">
        <v>60</v>
      </c>
      <c r="B59" s="4" t="s">
        <v>223</v>
      </c>
      <c r="C59" s="4" t="s">
        <v>381</v>
      </c>
    </row>
    <row r="60" spans="1:3" ht="28.8" x14ac:dyDescent="0.3">
      <c r="A60" s="4" t="s">
        <v>61</v>
      </c>
      <c r="B60" s="4" t="s">
        <v>383</v>
      </c>
      <c r="C60" s="4"/>
    </row>
    <row r="61" spans="1:3" ht="43.2" x14ac:dyDescent="0.3">
      <c r="A61" s="4" t="s">
        <v>62</v>
      </c>
      <c r="B61" s="4" t="s">
        <v>257</v>
      </c>
      <c r="C61" s="4" t="s">
        <v>382</v>
      </c>
    </row>
    <row r="62" spans="1:3" ht="43.2" x14ac:dyDescent="0.3">
      <c r="A62" s="4" t="s">
        <v>63</v>
      </c>
      <c r="B62" s="4" t="s">
        <v>258</v>
      </c>
      <c r="C62" s="4" t="s">
        <v>382</v>
      </c>
    </row>
    <row r="63" spans="1:3" ht="43.2" x14ac:dyDescent="0.3">
      <c r="A63" s="4" t="s">
        <v>64</v>
      </c>
      <c r="B63" s="4" t="s">
        <v>259</v>
      </c>
      <c r="C63" s="4" t="s">
        <v>382</v>
      </c>
    </row>
    <row r="64" spans="1:3" ht="43.2" x14ac:dyDescent="0.3">
      <c r="A64" s="4" t="s">
        <v>65</v>
      </c>
      <c r="B64" s="4" t="s">
        <v>260</v>
      </c>
      <c r="C64" s="4" t="s">
        <v>382</v>
      </c>
    </row>
    <row r="65" spans="1:3" ht="43.2" x14ac:dyDescent="0.3">
      <c r="A65" s="4" t="s">
        <v>66</v>
      </c>
      <c r="B65" s="4" t="s">
        <v>261</v>
      </c>
      <c r="C65" s="4" t="s">
        <v>382</v>
      </c>
    </row>
    <row r="66" spans="1:3" ht="43.2" x14ac:dyDescent="0.3">
      <c r="A66" s="4" t="s">
        <v>67</v>
      </c>
      <c r="B66" s="4" t="s">
        <v>262</v>
      </c>
      <c r="C66" s="4" t="s">
        <v>382</v>
      </c>
    </row>
    <row r="67" spans="1:3" ht="43.2" x14ac:dyDescent="0.3">
      <c r="A67" s="4" t="s">
        <v>68</v>
      </c>
      <c r="B67" s="4" t="s">
        <v>263</v>
      </c>
      <c r="C67" s="4" t="s">
        <v>382</v>
      </c>
    </row>
    <row r="68" spans="1:3" ht="43.2" x14ac:dyDescent="0.3">
      <c r="A68" s="4" t="s">
        <v>69</v>
      </c>
      <c r="B68" s="4" t="s">
        <v>264</v>
      </c>
      <c r="C68" s="4" t="s">
        <v>382</v>
      </c>
    </row>
    <row r="69" spans="1:3" ht="43.2" x14ac:dyDescent="0.3">
      <c r="A69" s="4" t="s">
        <v>70</v>
      </c>
      <c r="B69" s="4" t="s">
        <v>265</v>
      </c>
      <c r="C69" s="4" t="s">
        <v>382</v>
      </c>
    </row>
    <row r="70" spans="1:3" ht="72" x14ac:dyDescent="0.3">
      <c r="A70" s="4" t="s">
        <v>71</v>
      </c>
      <c r="B70" s="4" t="s">
        <v>384</v>
      </c>
      <c r="C70" s="4" t="s">
        <v>385</v>
      </c>
    </row>
    <row r="71" spans="1:3" ht="100.8" x14ac:dyDescent="0.3">
      <c r="A71" s="4" t="s">
        <v>72</v>
      </c>
      <c r="B71" s="4" t="s">
        <v>387</v>
      </c>
      <c r="C71" s="4" t="s">
        <v>386</v>
      </c>
    </row>
    <row r="72" spans="1:3" ht="28.8" x14ac:dyDescent="0.3">
      <c r="A72" s="4" t="s">
        <v>73</v>
      </c>
      <c r="B72" s="4" t="s">
        <v>388</v>
      </c>
      <c r="C72" s="4"/>
    </row>
    <row r="73" spans="1:3" x14ac:dyDescent="0.3">
      <c r="A73" s="4" t="s">
        <v>74</v>
      </c>
      <c r="B73" s="4" t="s">
        <v>266</v>
      </c>
      <c r="C73" s="4" t="str">
        <f>_xlfn.CONCAT("Valores validos: (X - ",B73,")")</f>
        <v>Valores validos: (X - a. Changua)</v>
      </c>
    </row>
    <row r="74" spans="1:3" x14ac:dyDescent="0.3">
      <c r="A74" s="4" t="s">
        <v>75</v>
      </c>
      <c r="B74" s="4" t="s">
        <v>267</v>
      </c>
      <c r="C74" s="4" t="str">
        <f t="shared" ref="C74:C83" si="0">_xlfn.CONCAT("Valores validos: (X - ",B74,")")</f>
        <v>Valores validos: (X - b. Ajiaco Santafereño)</v>
      </c>
    </row>
    <row r="75" spans="1:3" x14ac:dyDescent="0.3">
      <c r="A75" s="4" t="s">
        <v>76</v>
      </c>
      <c r="B75" s="4" t="s">
        <v>268</v>
      </c>
      <c r="C75" s="4" t="str">
        <f t="shared" si="0"/>
        <v>Valores validos: (X - c. Tamal )</v>
      </c>
    </row>
    <row r="76" spans="1:3" x14ac:dyDescent="0.3">
      <c r="A76" s="4" t="s">
        <v>77</v>
      </c>
      <c r="B76" s="4" t="s">
        <v>269</v>
      </c>
      <c r="C76" s="4" t="str">
        <f t="shared" si="0"/>
        <v>Valores validos: (X - d. Agua de panela con queso)</v>
      </c>
    </row>
    <row r="77" spans="1:3" x14ac:dyDescent="0.3">
      <c r="A77" s="4" t="s">
        <v>78</v>
      </c>
      <c r="B77" s="4" t="s">
        <v>270</v>
      </c>
      <c r="C77" s="4" t="str">
        <f t="shared" si="0"/>
        <v>Valores validos: (X - e. Obleas)</v>
      </c>
    </row>
    <row r="78" spans="1:3" x14ac:dyDescent="0.3">
      <c r="A78" s="4" t="s">
        <v>79</v>
      </c>
      <c r="B78" s="4" t="s">
        <v>271</v>
      </c>
      <c r="C78" s="4" t="str">
        <f t="shared" si="0"/>
        <v>Valores validos: (X - f. Chocolate Santafereño )</v>
      </c>
    </row>
    <row r="79" spans="1:3" x14ac:dyDescent="0.3">
      <c r="A79" s="4" t="s">
        <v>80</v>
      </c>
      <c r="B79" s="4" t="s">
        <v>272</v>
      </c>
      <c r="C79" s="4" t="str">
        <f t="shared" si="0"/>
        <v>Valores validos: (X - g. Fritanga)</v>
      </c>
    </row>
    <row r="80" spans="1:3" x14ac:dyDescent="0.3">
      <c r="A80" s="4" t="s">
        <v>81</v>
      </c>
      <c r="B80" s="4" t="s">
        <v>273</v>
      </c>
      <c r="C80" s="4" t="str">
        <f t="shared" si="0"/>
        <v>Valores validos: (X - h. Puchero)</v>
      </c>
    </row>
    <row r="81" spans="1:3" x14ac:dyDescent="0.3">
      <c r="A81" s="4" t="s">
        <v>82</v>
      </c>
      <c r="B81" s="4" t="s">
        <v>274</v>
      </c>
      <c r="C81" s="4" t="str">
        <f t="shared" si="0"/>
        <v>Valores validos: (X - i. Las marquesas)</v>
      </c>
    </row>
    <row r="82" spans="1:3" x14ac:dyDescent="0.3">
      <c r="A82" s="4" t="s">
        <v>83</v>
      </c>
      <c r="B82" s="4" t="s">
        <v>275</v>
      </c>
      <c r="C82" s="4" t="str">
        <f t="shared" si="0"/>
        <v>Valores validos: (X - j. Arroz con Leche )</v>
      </c>
    </row>
    <row r="83" spans="1:3" x14ac:dyDescent="0.3">
      <c r="A83" s="4" t="s">
        <v>84</v>
      </c>
      <c r="B83" s="4" t="s">
        <v>276</v>
      </c>
      <c r="C83" s="4" t="str">
        <f t="shared" si="0"/>
        <v>Valores validos: (X - k. Ns/Nr)</v>
      </c>
    </row>
    <row r="84" spans="1:3" ht="28.8" x14ac:dyDescent="0.3">
      <c r="A84" s="4" t="s">
        <v>85</v>
      </c>
      <c r="B84" s="4" t="s">
        <v>389</v>
      </c>
      <c r="C84" s="4"/>
    </row>
    <row r="85" spans="1:3" ht="28.8" x14ac:dyDescent="0.3">
      <c r="A85" s="4" t="s">
        <v>86</v>
      </c>
      <c r="B85" s="4" t="s">
        <v>390</v>
      </c>
      <c r="C85" s="4"/>
    </row>
    <row r="86" spans="1:3" ht="30" x14ac:dyDescent="0.3">
      <c r="A86" s="4" t="s">
        <v>87</v>
      </c>
      <c r="B86" s="4" t="s">
        <v>392</v>
      </c>
      <c r="C86" s="2" t="s">
        <v>391</v>
      </c>
    </row>
    <row r="87" spans="1:3" ht="30" x14ac:dyDescent="0.3">
      <c r="A87" s="4" t="s">
        <v>88</v>
      </c>
      <c r="B87" s="4" t="s">
        <v>393</v>
      </c>
      <c r="C87" s="2" t="s">
        <v>391</v>
      </c>
    </row>
    <row r="88" spans="1:3" ht="30" x14ac:dyDescent="0.3">
      <c r="A88" s="4" t="s">
        <v>89</v>
      </c>
      <c r="B88" s="4" t="s">
        <v>394</v>
      </c>
      <c r="C88" s="2" t="s">
        <v>391</v>
      </c>
    </row>
    <row r="89" spans="1:3" ht="43.2" x14ac:dyDescent="0.3">
      <c r="A89" s="4" t="s">
        <v>90</v>
      </c>
      <c r="B89" s="4" t="s">
        <v>395</v>
      </c>
      <c r="C89" s="2" t="s">
        <v>391</v>
      </c>
    </row>
    <row r="90" spans="1:3" ht="43.2" x14ac:dyDescent="0.3">
      <c r="A90" s="4" t="s">
        <v>91</v>
      </c>
      <c r="B90" s="4" t="s">
        <v>396</v>
      </c>
      <c r="C90" s="2" t="s">
        <v>391</v>
      </c>
    </row>
    <row r="91" spans="1:3" ht="28.8" x14ac:dyDescent="0.3">
      <c r="A91" s="4" t="s">
        <v>92</v>
      </c>
      <c r="B91" s="4" t="s">
        <v>397</v>
      </c>
      <c r="C91" s="2" t="s">
        <v>361</v>
      </c>
    </row>
    <row r="92" spans="1:3" x14ac:dyDescent="0.3">
      <c r="A92" s="4" t="s">
        <v>93</v>
      </c>
      <c r="B92" s="4" t="s">
        <v>398</v>
      </c>
      <c r="C92" s="4"/>
    </row>
    <row r="93" spans="1:3" ht="15" x14ac:dyDescent="0.3">
      <c r="A93" s="4" t="s">
        <v>94</v>
      </c>
      <c r="B93" s="4" t="s">
        <v>399</v>
      </c>
      <c r="C93" s="2" t="s">
        <v>361</v>
      </c>
    </row>
    <row r="94" spans="1:3" ht="15" x14ac:dyDescent="0.3">
      <c r="A94" s="4" t="s">
        <v>95</v>
      </c>
      <c r="B94" s="4" t="s">
        <v>277</v>
      </c>
      <c r="C94" s="2" t="s">
        <v>400</v>
      </c>
    </row>
    <row r="95" spans="1:3" x14ac:dyDescent="0.3">
      <c r="A95" s="4" t="s">
        <v>96</v>
      </c>
      <c r="B95" s="4" t="s">
        <v>278</v>
      </c>
      <c r="C95" s="4"/>
    </row>
    <row r="96" spans="1:3" ht="30" x14ac:dyDescent="0.3">
      <c r="A96" s="4" t="s">
        <v>97</v>
      </c>
      <c r="B96" s="4" t="s">
        <v>221</v>
      </c>
      <c r="C96" s="2" t="s">
        <v>331</v>
      </c>
    </row>
    <row r="97" spans="1:3" ht="15" x14ac:dyDescent="0.3">
      <c r="A97" s="4" t="s">
        <v>98</v>
      </c>
      <c r="B97" s="4" t="s">
        <v>222</v>
      </c>
      <c r="C97" s="2" t="s">
        <v>332</v>
      </c>
    </row>
    <row r="98" spans="1:3" ht="86.4" x14ac:dyDescent="0.3">
      <c r="A98" s="4" t="s">
        <v>99</v>
      </c>
      <c r="B98" s="4" t="s">
        <v>402</v>
      </c>
      <c r="C98" s="4" t="s">
        <v>401</v>
      </c>
    </row>
    <row r="99" spans="1:3" x14ac:dyDescent="0.3">
      <c r="A99" s="4" t="s">
        <v>100</v>
      </c>
      <c r="B99" s="4" t="s">
        <v>223</v>
      </c>
      <c r="C99" s="4"/>
    </row>
    <row r="100" spans="1:3" x14ac:dyDescent="0.3">
      <c r="A100" s="4" t="s">
        <v>101</v>
      </c>
      <c r="B100" s="4" t="s">
        <v>348</v>
      </c>
      <c r="C100" s="4"/>
    </row>
    <row r="101" spans="1:3" ht="75" x14ac:dyDescent="0.3">
      <c r="A101" s="4" t="s">
        <v>102</v>
      </c>
      <c r="B101" s="4" t="s">
        <v>335</v>
      </c>
      <c r="C101" s="2" t="s">
        <v>336</v>
      </c>
    </row>
    <row r="102" spans="1:3" ht="57.6" x14ac:dyDescent="0.3">
      <c r="A102" s="4" t="s">
        <v>103</v>
      </c>
      <c r="B102" s="4" t="s">
        <v>403</v>
      </c>
      <c r="C102" s="4" t="s">
        <v>404</v>
      </c>
    </row>
    <row r="103" spans="1:3" ht="15" x14ac:dyDescent="0.3">
      <c r="A103" s="4" t="s">
        <v>104</v>
      </c>
      <c r="B103" s="4" t="s">
        <v>338</v>
      </c>
      <c r="C103" s="3" t="s">
        <v>337</v>
      </c>
    </row>
    <row r="104" spans="1:3" ht="15" x14ac:dyDescent="0.3">
      <c r="A104" s="4" t="s">
        <v>105</v>
      </c>
      <c r="B104" s="4" t="s">
        <v>405</v>
      </c>
      <c r="C104" s="2" t="s">
        <v>361</v>
      </c>
    </row>
    <row r="105" spans="1:3" ht="100.8" x14ac:dyDescent="0.3">
      <c r="A105" s="4" t="s">
        <v>106</v>
      </c>
      <c r="B105" s="4" t="s">
        <v>409</v>
      </c>
      <c r="C105" s="4" t="s">
        <v>406</v>
      </c>
    </row>
    <row r="106" spans="1:3" ht="105" x14ac:dyDescent="0.3">
      <c r="A106" s="4" t="s">
        <v>107</v>
      </c>
      <c r="B106" s="4" t="s">
        <v>410</v>
      </c>
      <c r="C106" s="3" t="s">
        <v>407</v>
      </c>
    </row>
    <row r="107" spans="1:3" ht="120" x14ac:dyDescent="0.3">
      <c r="A107" s="4" t="s">
        <v>108</v>
      </c>
      <c r="B107" s="4" t="s">
        <v>411</v>
      </c>
      <c r="C107" s="2" t="s">
        <v>408</v>
      </c>
    </row>
    <row r="108" spans="1:3" x14ac:dyDescent="0.3">
      <c r="A108" s="4" t="s">
        <v>109</v>
      </c>
      <c r="B108" s="4" t="s">
        <v>412</v>
      </c>
      <c r="C108" s="4"/>
    </row>
    <row r="109" spans="1:3" ht="129.6" x14ac:dyDescent="0.3">
      <c r="A109" s="4" t="s">
        <v>110</v>
      </c>
      <c r="B109" s="4" t="s">
        <v>414</v>
      </c>
      <c r="C109" s="4" t="s">
        <v>413</v>
      </c>
    </row>
    <row r="110" spans="1:3" ht="144" x14ac:dyDescent="0.3">
      <c r="A110" s="4" t="s">
        <v>111</v>
      </c>
      <c r="B110" s="4" t="s">
        <v>334</v>
      </c>
      <c r="C110" s="4" t="s">
        <v>415</v>
      </c>
    </row>
    <row r="111" spans="1:3" ht="28.8" x14ac:dyDescent="0.3">
      <c r="A111" s="4" t="s">
        <v>112</v>
      </c>
      <c r="B111" s="4" t="s">
        <v>416</v>
      </c>
      <c r="C111" s="4" t="str">
        <f>_xlfn.CONCAT("Valores validos: (X - ",B111,")")</f>
        <v>Valores validos: (X - Asistencia a congresos, ferias y convenciones)</v>
      </c>
    </row>
    <row r="112" spans="1:3" ht="28.8" x14ac:dyDescent="0.3">
      <c r="A112" s="4" t="s">
        <v>113</v>
      </c>
      <c r="B112" s="4" t="s">
        <v>417</v>
      </c>
      <c r="C112" s="4" t="str">
        <f>_xlfn.CONCAT("Valores validos: (X - ",B112,")")</f>
        <v>Valores validos: (X - Otros negocios y motivos profesionales)</v>
      </c>
    </row>
    <row r="113" spans="1:3" x14ac:dyDescent="0.3">
      <c r="A113" s="4" t="s">
        <v>114</v>
      </c>
      <c r="B113" s="4" t="s">
        <v>359</v>
      </c>
      <c r="C113" s="4"/>
    </row>
    <row r="114" spans="1:3" ht="86.4" x14ac:dyDescent="0.3">
      <c r="A114" s="4" t="s">
        <v>115</v>
      </c>
      <c r="B114" s="4" t="s">
        <v>418</v>
      </c>
      <c r="C114" s="4" t="s">
        <v>419</v>
      </c>
    </row>
    <row r="115" spans="1:3" x14ac:dyDescent="0.3">
      <c r="A115" s="4" t="s">
        <v>116</v>
      </c>
      <c r="B115" s="4" t="s">
        <v>223</v>
      </c>
      <c r="C115" s="4"/>
    </row>
    <row r="116" spans="1:3" x14ac:dyDescent="0.3">
      <c r="A116" s="4" t="s">
        <v>117</v>
      </c>
      <c r="B116" s="4" t="s">
        <v>420</v>
      </c>
      <c r="C116" s="4"/>
    </row>
    <row r="117" spans="1:3" ht="15" x14ac:dyDescent="0.3">
      <c r="A117" s="4" t="s">
        <v>118</v>
      </c>
      <c r="B117" s="4" t="s">
        <v>421</v>
      </c>
      <c r="C117" s="2" t="s">
        <v>341</v>
      </c>
    </row>
    <row r="118" spans="1:3" ht="28.8" x14ac:dyDescent="0.3">
      <c r="A118" s="4" t="s">
        <v>119</v>
      </c>
      <c r="B118" s="4" t="s">
        <v>422</v>
      </c>
      <c r="C118" s="4"/>
    </row>
    <row r="119" spans="1:3" x14ac:dyDescent="0.3">
      <c r="A119" s="4" t="s">
        <v>120</v>
      </c>
      <c r="B119" s="4" t="s">
        <v>279</v>
      </c>
      <c r="C119" s="4" t="str">
        <f>_xlfn.CONCAT("Valores validos: (X - ",B119,")")</f>
        <v>Valores validos: (X - a. Ninguna)</v>
      </c>
    </row>
    <row r="120" spans="1:3" x14ac:dyDescent="0.3">
      <c r="A120" s="4" t="s">
        <v>121</v>
      </c>
      <c r="B120" s="4" t="s">
        <v>280</v>
      </c>
      <c r="C120" s="4" t="str">
        <f t="shared" ref="C120:C125" si="1">_xlfn.CONCAT("Valores validos: (X - ",B120,")")</f>
        <v>Valores validos: (X - b. Barranquilla)</v>
      </c>
    </row>
    <row r="121" spans="1:3" x14ac:dyDescent="0.3">
      <c r="A121" s="4" t="s">
        <v>122</v>
      </c>
      <c r="B121" s="4" t="s">
        <v>281</v>
      </c>
      <c r="C121" s="4" t="str">
        <f t="shared" si="1"/>
        <v>Valores validos: (X - c. Cali)</v>
      </c>
    </row>
    <row r="122" spans="1:3" x14ac:dyDescent="0.3">
      <c r="A122" s="4" t="s">
        <v>123</v>
      </c>
      <c r="B122" s="4" t="s">
        <v>282</v>
      </c>
      <c r="C122" s="4" t="str">
        <f t="shared" si="1"/>
        <v>Valores validos: (X - d. Cartagena)</v>
      </c>
    </row>
    <row r="123" spans="1:3" x14ac:dyDescent="0.3">
      <c r="A123" s="4" t="s">
        <v>124</v>
      </c>
      <c r="B123" s="4" t="s">
        <v>283</v>
      </c>
      <c r="C123" s="4" t="str">
        <f t="shared" si="1"/>
        <v>Valores validos: (X - e. Medellín)</v>
      </c>
    </row>
    <row r="124" spans="1:3" x14ac:dyDescent="0.3">
      <c r="A124" s="4" t="s">
        <v>125</v>
      </c>
      <c r="B124" s="4" t="s">
        <v>284</v>
      </c>
      <c r="C124" s="4" t="str">
        <f t="shared" si="1"/>
        <v>Valores validos: (X - f. Santa Marta)</v>
      </c>
    </row>
    <row r="125" spans="1:3" x14ac:dyDescent="0.3">
      <c r="A125" s="4" t="s">
        <v>126</v>
      </c>
      <c r="B125" s="4" t="s">
        <v>285</v>
      </c>
      <c r="C125" s="4" t="str">
        <f t="shared" si="1"/>
        <v>Valores validos: (X - g. Otro )</v>
      </c>
    </row>
    <row r="126" spans="1:3" x14ac:dyDescent="0.3">
      <c r="A126" s="4" t="s">
        <v>127</v>
      </c>
      <c r="B126" s="4" t="s">
        <v>223</v>
      </c>
      <c r="C126" s="4"/>
    </row>
    <row r="127" spans="1:3" ht="15" x14ac:dyDescent="0.3">
      <c r="A127" s="4" t="s">
        <v>128</v>
      </c>
      <c r="B127" s="4" t="s">
        <v>423</v>
      </c>
      <c r="C127" s="2" t="s">
        <v>361</v>
      </c>
    </row>
    <row r="128" spans="1:3" x14ac:dyDescent="0.3">
      <c r="A128" s="4" t="s">
        <v>129</v>
      </c>
      <c r="B128" s="4" t="s">
        <v>424</v>
      </c>
      <c r="C128" s="4"/>
    </row>
    <row r="129" spans="1:3" ht="15" x14ac:dyDescent="0.3">
      <c r="A129" s="4" t="s">
        <v>130</v>
      </c>
      <c r="B129" s="4" t="s">
        <v>425</v>
      </c>
      <c r="C129" s="2" t="s">
        <v>327</v>
      </c>
    </row>
    <row r="130" spans="1:3" ht="15" x14ac:dyDescent="0.3">
      <c r="A130" s="4" t="s">
        <v>131</v>
      </c>
      <c r="B130" s="4" t="s">
        <v>430</v>
      </c>
      <c r="C130" s="2" t="s">
        <v>346</v>
      </c>
    </row>
    <row r="131" spans="1:3" ht="90" x14ac:dyDescent="0.3">
      <c r="A131" s="4" t="s">
        <v>132</v>
      </c>
      <c r="B131" s="4" t="s">
        <v>433</v>
      </c>
      <c r="C131" s="2" t="s">
        <v>426</v>
      </c>
    </row>
    <row r="132" spans="1:3" x14ac:dyDescent="0.3">
      <c r="A132" s="4" t="s">
        <v>133</v>
      </c>
      <c r="B132" s="4" t="s">
        <v>412</v>
      </c>
      <c r="C132" s="4"/>
    </row>
    <row r="133" spans="1:3" x14ac:dyDescent="0.3">
      <c r="A133" s="4" t="s">
        <v>134</v>
      </c>
      <c r="B133" s="4" t="s">
        <v>427</v>
      </c>
      <c r="C133" s="4" t="s">
        <v>428</v>
      </c>
    </row>
    <row r="134" spans="1:3" ht="28.8" x14ac:dyDescent="0.3">
      <c r="A134" s="4" t="s">
        <v>135</v>
      </c>
      <c r="B134" s="4" t="s">
        <v>429</v>
      </c>
      <c r="C134" s="4"/>
    </row>
    <row r="135" spans="1:3" ht="28.8" x14ac:dyDescent="0.3">
      <c r="A135" s="4" t="s">
        <v>136</v>
      </c>
      <c r="B135" s="4" t="s">
        <v>286</v>
      </c>
      <c r="C135" s="4" t="str">
        <f>_xlfn.CONCAT("Valores validos: (X - ",B135,")")</f>
        <v>Valores validos: (X - a. Vehículo por plataforma digital)</v>
      </c>
    </row>
    <row r="136" spans="1:3" ht="28.8" x14ac:dyDescent="0.3">
      <c r="A136" s="4" t="s">
        <v>137</v>
      </c>
      <c r="B136" s="4" t="s">
        <v>287</v>
      </c>
      <c r="C136" s="4" t="str">
        <f t="shared" ref="C136:C141" si="2">_xlfn.CONCAT("Valores validos: (X - ",B136,")")</f>
        <v>Valores validos: (X - b. Vehículo de alquiler y/o turismo)</v>
      </c>
    </row>
    <row r="137" spans="1:3" ht="28.8" x14ac:dyDescent="0.3">
      <c r="A137" s="4" t="s">
        <v>138</v>
      </c>
      <c r="B137" s="4" t="s">
        <v>288</v>
      </c>
      <c r="C137" s="4" t="str">
        <f t="shared" si="2"/>
        <v>Valores validos: (X - c. Vehículo de familiares o amigos)</v>
      </c>
    </row>
    <row r="138" spans="1:3" ht="28.8" x14ac:dyDescent="0.3">
      <c r="A138" s="4" t="s">
        <v>139</v>
      </c>
      <c r="B138" s="4" t="s">
        <v>289</v>
      </c>
      <c r="C138" s="4" t="str">
        <f t="shared" si="2"/>
        <v>Valores validos: (X - d. Sistema Integrado de Transporte)</v>
      </c>
    </row>
    <row r="139" spans="1:3" x14ac:dyDescent="0.3">
      <c r="A139" s="4" t="s">
        <v>140</v>
      </c>
      <c r="B139" s="4" t="s">
        <v>290</v>
      </c>
      <c r="C139" s="4" t="str">
        <f t="shared" si="2"/>
        <v>Valores validos: (X - e. Transporte en taxi )</v>
      </c>
    </row>
    <row r="140" spans="1:3" x14ac:dyDescent="0.3">
      <c r="A140" s="4" t="s">
        <v>141</v>
      </c>
      <c r="B140" s="4" t="s">
        <v>291</v>
      </c>
      <c r="C140" s="4" t="str">
        <f t="shared" si="2"/>
        <v>Valores validos: (X - f. Bicicleta)</v>
      </c>
    </row>
    <row r="141" spans="1:3" x14ac:dyDescent="0.3">
      <c r="A141" s="4" t="s">
        <v>142</v>
      </c>
      <c r="B141" s="4" t="s">
        <v>292</v>
      </c>
      <c r="C141" s="4" t="str">
        <f t="shared" si="2"/>
        <v>Valores validos: (X - g. Otro)</v>
      </c>
    </row>
    <row r="142" spans="1:3" x14ac:dyDescent="0.3">
      <c r="A142" s="4" t="s">
        <v>143</v>
      </c>
      <c r="B142" s="4" t="s">
        <v>412</v>
      </c>
      <c r="C142" s="4"/>
    </row>
    <row r="143" spans="1:3" ht="43.2" x14ac:dyDescent="0.3">
      <c r="A143" s="4" t="s">
        <v>144</v>
      </c>
      <c r="B143" s="4" t="s">
        <v>431</v>
      </c>
      <c r="C143" s="2" t="s">
        <v>435</v>
      </c>
    </row>
    <row r="144" spans="1:3" ht="15" x14ac:dyDescent="0.3">
      <c r="A144" s="4" t="s">
        <v>145</v>
      </c>
      <c r="B144" s="4" t="s">
        <v>224</v>
      </c>
      <c r="C144" s="2" t="s">
        <v>341</v>
      </c>
    </row>
    <row r="145" spans="1:3" ht="15" x14ac:dyDescent="0.3">
      <c r="A145" s="4" t="s">
        <v>146</v>
      </c>
      <c r="B145" s="4" t="s">
        <v>293</v>
      </c>
      <c r="C145" s="2" t="s">
        <v>342</v>
      </c>
    </row>
    <row r="146" spans="1:3" ht="15" x14ac:dyDescent="0.3">
      <c r="A146" s="4" t="s">
        <v>147</v>
      </c>
      <c r="B146" s="4" t="s">
        <v>294</v>
      </c>
      <c r="C146" s="2" t="s">
        <v>343</v>
      </c>
    </row>
    <row r="147" spans="1:3" ht="43.2" x14ac:dyDescent="0.3">
      <c r="A147" s="4" t="s">
        <v>148</v>
      </c>
      <c r="B147" s="4" t="s">
        <v>432</v>
      </c>
      <c r="C147" s="4"/>
    </row>
    <row r="148" spans="1:3" ht="15" x14ac:dyDescent="0.3">
      <c r="A148" s="4" t="s">
        <v>149</v>
      </c>
      <c r="B148" s="4" t="s">
        <v>295</v>
      </c>
      <c r="C148" s="3" t="s">
        <v>434</v>
      </c>
    </row>
    <row r="149" spans="1:3" ht="15" x14ac:dyDescent="0.3">
      <c r="A149" s="4" t="s">
        <v>150</v>
      </c>
      <c r="B149" s="4" t="s">
        <v>296</v>
      </c>
      <c r="C149" s="3" t="s">
        <v>434</v>
      </c>
    </row>
    <row r="150" spans="1:3" ht="15" x14ac:dyDescent="0.3">
      <c r="A150" s="4" t="s">
        <v>151</v>
      </c>
      <c r="B150" s="4" t="s">
        <v>297</v>
      </c>
      <c r="C150" s="3" t="s">
        <v>434</v>
      </c>
    </row>
    <row r="151" spans="1:3" ht="15" x14ac:dyDescent="0.3">
      <c r="A151" s="4" t="s">
        <v>152</v>
      </c>
      <c r="B151" s="4" t="s">
        <v>298</v>
      </c>
      <c r="C151" s="3" t="s">
        <v>434</v>
      </c>
    </row>
    <row r="152" spans="1:3" ht="15" x14ac:dyDescent="0.3">
      <c r="A152" s="4" t="s">
        <v>153</v>
      </c>
      <c r="B152" s="4" t="s">
        <v>299</v>
      </c>
      <c r="C152" s="3" t="s">
        <v>434</v>
      </c>
    </row>
    <row r="153" spans="1:3" ht="15" x14ac:dyDescent="0.3">
      <c r="A153" s="4" t="s">
        <v>154</v>
      </c>
      <c r="B153" s="4" t="s">
        <v>300</v>
      </c>
      <c r="C153" s="3" t="s">
        <v>434</v>
      </c>
    </row>
    <row r="154" spans="1:3" ht="28.8" x14ac:dyDescent="0.3">
      <c r="A154" s="4" t="s">
        <v>155</v>
      </c>
      <c r="B154" s="4" t="s">
        <v>436</v>
      </c>
      <c r="C154" s="4"/>
    </row>
    <row r="155" spans="1:3" ht="28.8" x14ac:dyDescent="0.3">
      <c r="A155" s="4" t="s">
        <v>156</v>
      </c>
      <c r="B155" s="4" t="s">
        <v>229</v>
      </c>
      <c r="C155" s="4" t="str">
        <f>_xlfn.CONCAT("Valores validos: (X - ",B155,")")</f>
        <v>Valores validos: (X - a. Tipo Cultural (Histórico, Arte, Religioso, Arquitectónico))</v>
      </c>
    </row>
    <row r="156" spans="1:3" ht="28.8" x14ac:dyDescent="0.3">
      <c r="A156" s="4" t="s">
        <v>157</v>
      </c>
      <c r="B156" s="4" t="s">
        <v>301</v>
      </c>
      <c r="C156" s="4" t="str">
        <f t="shared" ref="C156:C187" si="3">_xlfn.CONCAT("Valores validos: (X - ",B156,")")</f>
        <v>Valores validos: (X - b. Naturaleza (Ecoturismo, Avistamiento, Aventura))</v>
      </c>
    </row>
    <row r="157" spans="1:3" ht="28.8" x14ac:dyDescent="0.3">
      <c r="A157" s="4" t="s">
        <v>158</v>
      </c>
      <c r="B157" s="4" t="s">
        <v>302</v>
      </c>
      <c r="C157" s="4" t="str">
        <f t="shared" si="3"/>
        <v>Valores validos: (X - c. Tipo Rural, Comunitario o Social)</v>
      </c>
    </row>
    <row r="158" spans="1:3" ht="28.8" x14ac:dyDescent="0.3">
      <c r="A158" s="4" t="s">
        <v>159</v>
      </c>
      <c r="B158" s="4" t="s">
        <v>303</v>
      </c>
      <c r="C158" s="4" t="str">
        <f t="shared" si="3"/>
        <v>Valores validos: (X - d. Bienestar (preventivas, proactivas y de mejora del estilo de vida))</v>
      </c>
    </row>
    <row r="159" spans="1:3" ht="28.8" x14ac:dyDescent="0.3">
      <c r="A159" s="4" t="s">
        <v>160</v>
      </c>
      <c r="B159" s="4" t="s">
        <v>304</v>
      </c>
      <c r="C159" s="4" t="str">
        <f t="shared" si="3"/>
        <v>Valores validos: (X - e. Tipo médico (invasivos o no invasivos: diagnóstico, tratamiento, cura, preven)</v>
      </c>
    </row>
    <row r="160" spans="1:3" ht="28.8" x14ac:dyDescent="0.3">
      <c r="A160" s="4" t="s">
        <v>161</v>
      </c>
      <c r="B160" s="4" t="s">
        <v>305</v>
      </c>
      <c r="C160" s="4" t="str">
        <f t="shared" si="3"/>
        <v>Valores validos: (X - f. Negocios (motivo profesional y/o de negocio, capacitación laboral))</v>
      </c>
    </row>
    <row r="161" spans="1:3" ht="28.8" x14ac:dyDescent="0.3">
      <c r="A161" s="4" t="s">
        <v>162</v>
      </c>
      <c r="B161" s="4" t="s">
        <v>306</v>
      </c>
      <c r="C161" s="4" t="str">
        <f t="shared" si="3"/>
        <v>Valores validos: (X - g. Gastronómico (experiencia vinculada a la comida, enoturismo y catas café) )</v>
      </c>
    </row>
    <row r="162" spans="1:3" ht="28.8" x14ac:dyDescent="0.3">
      <c r="A162" s="4" t="s">
        <v>163</v>
      </c>
      <c r="B162" s="4" t="s">
        <v>307</v>
      </c>
      <c r="C162" s="4" t="str">
        <f t="shared" si="3"/>
        <v>Valores validos: (X - h. Urbano (bicicleta, compras, rumba, grafiti))</v>
      </c>
    </row>
    <row r="163" spans="1:3" ht="28.8" x14ac:dyDescent="0.3">
      <c r="A163" s="4" t="s">
        <v>164</v>
      </c>
      <c r="B163" s="4" t="s">
        <v>308</v>
      </c>
      <c r="C163" s="4" t="str">
        <f t="shared" si="3"/>
        <v>Valores validos: (X - i. Educativo (aprendizaje en general))</v>
      </c>
    </row>
    <row r="164" spans="1:3" x14ac:dyDescent="0.3">
      <c r="A164" s="4" t="s">
        <v>165</v>
      </c>
      <c r="B164" s="4" t="s">
        <v>309</v>
      </c>
      <c r="C164" s="4" t="str">
        <f t="shared" si="3"/>
        <v>Valores validos: (X - j. Deportivo (Carreras, golf))</v>
      </c>
    </row>
    <row r="165" spans="1:3" ht="28.8" x14ac:dyDescent="0.3">
      <c r="A165" s="4" t="s">
        <v>166</v>
      </c>
      <c r="B165" s="4" t="s">
        <v>310</v>
      </c>
      <c r="C165" s="4" t="str">
        <f t="shared" si="3"/>
        <v>Valores validos: (X - k. De Compras (centros comerciales, Pasajes Comerciales))</v>
      </c>
    </row>
    <row r="166" spans="1:3" x14ac:dyDescent="0.3">
      <c r="A166" s="4" t="s">
        <v>167</v>
      </c>
      <c r="B166" s="4" t="s">
        <v>440</v>
      </c>
      <c r="C166" s="4"/>
    </row>
    <row r="167" spans="1:3" x14ac:dyDescent="0.3">
      <c r="A167" s="4" t="s">
        <v>168</v>
      </c>
      <c r="B167" s="4" t="s">
        <v>239</v>
      </c>
      <c r="C167" s="4" t="str">
        <f t="shared" si="3"/>
        <v>Valores validos: (X - a. Museo del Oro)</v>
      </c>
    </row>
    <row r="168" spans="1:3" ht="28.8" x14ac:dyDescent="0.3">
      <c r="A168" s="4" t="s">
        <v>169</v>
      </c>
      <c r="B168" s="4" t="s">
        <v>240</v>
      </c>
      <c r="C168" s="4" t="str">
        <f t="shared" si="3"/>
        <v>Valores validos: (X - b. Cerro /Santuario de Monserrate)</v>
      </c>
    </row>
    <row r="169" spans="1:3" x14ac:dyDescent="0.3">
      <c r="A169" s="4" t="s">
        <v>170</v>
      </c>
      <c r="B169" s="4" t="s">
        <v>241</v>
      </c>
      <c r="C169" s="4" t="str">
        <f t="shared" si="3"/>
        <v>Valores validos: (X - c. Plaza del Chorro de Quevedo)</v>
      </c>
    </row>
    <row r="170" spans="1:3" ht="28.8" x14ac:dyDescent="0.3">
      <c r="A170" s="4" t="s">
        <v>171</v>
      </c>
      <c r="B170" s="4" t="s">
        <v>311</v>
      </c>
      <c r="C170" s="4" t="str">
        <f t="shared" si="3"/>
        <v>Valores validos: (X - d. Centro Histórico de La Candelaría )</v>
      </c>
    </row>
    <row r="171" spans="1:3" x14ac:dyDescent="0.3">
      <c r="A171" s="4" t="s">
        <v>172</v>
      </c>
      <c r="B171" s="4" t="s">
        <v>243</v>
      </c>
      <c r="C171" s="4" t="str">
        <f t="shared" si="3"/>
        <v>Valores validos: (X - e. Plaza de Bolívar)</v>
      </c>
    </row>
    <row r="172" spans="1:3" x14ac:dyDescent="0.3">
      <c r="A172" s="4" t="s">
        <v>173</v>
      </c>
      <c r="B172" s="4" t="s">
        <v>244</v>
      </c>
      <c r="C172" s="4" t="str">
        <f t="shared" si="3"/>
        <v>Valores validos: (X - f. Jardín Botánico)</v>
      </c>
    </row>
    <row r="173" spans="1:3" ht="28.8" x14ac:dyDescent="0.3">
      <c r="A173" s="4" t="s">
        <v>174</v>
      </c>
      <c r="B173" s="4" t="s">
        <v>245</v>
      </c>
      <c r="C173" s="4" t="str">
        <f t="shared" si="3"/>
        <v>Valores validos: (X - g. Plaza de Mercado Paloquemao )</v>
      </c>
    </row>
    <row r="174" spans="1:3" ht="28.8" x14ac:dyDescent="0.3">
      <c r="A174" s="4" t="s">
        <v>175</v>
      </c>
      <c r="B174" s="4" t="s">
        <v>246</v>
      </c>
      <c r="C174" s="4" t="str">
        <f t="shared" si="3"/>
        <v>Valores validos: (X - h. Plaza de Mercado La Concordia)</v>
      </c>
    </row>
    <row r="175" spans="1:3" x14ac:dyDescent="0.3">
      <c r="A175" s="4" t="s">
        <v>176</v>
      </c>
      <c r="B175" s="4" t="s">
        <v>247</v>
      </c>
      <c r="C175" s="4" t="str">
        <f t="shared" si="3"/>
        <v>Valores validos: (X - i. Zona T)</v>
      </c>
    </row>
    <row r="176" spans="1:3" x14ac:dyDescent="0.3">
      <c r="A176" s="4" t="s">
        <v>177</v>
      </c>
      <c r="B176" s="4" t="s">
        <v>248</v>
      </c>
      <c r="C176" s="4" t="str">
        <f t="shared" si="3"/>
        <v>Valores validos: (X - j. Zona G)</v>
      </c>
    </row>
    <row r="177" spans="1:3" x14ac:dyDescent="0.3">
      <c r="A177" s="4" t="s">
        <v>178</v>
      </c>
      <c r="B177" s="4" t="s">
        <v>249</v>
      </c>
      <c r="C177" s="4" t="str">
        <f t="shared" si="3"/>
        <v>Valores validos: (X - k. Parque Simón Bolívar)</v>
      </c>
    </row>
    <row r="178" spans="1:3" x14ac:dyDescent="0.3">
      <c r="A178" s="4" t="s">
        <v>179</v>
      </c>
      <c r="B178" s="4" t="s">
        <v>250</v>
      </c>
      <c r="C178" s="4" t="str">
        <f t="shared" si="3"/>
        <v>Valores validos: (X - l. Museo de Botero)</v>
      </c>
    </row>
    <row r="179" spans="1:3" x14ac:dyDescent="0.3">
      <c r="A179" s="4" t="s">
        <v>180</v>
      </c>
      <c r="B179" s="4" t="s">
        <v>251</v>
      </c>
      <c r="C179" s="4" t="str">
        <f t="shared" si="3"/>
        <v>Valores validos: (X - m. Teatro Colón)</v>
      </c>
    </row>
    <row r="180" spans="1:3" x14ac:dyDescent="0.3">
      <c r="A180" s="4" t="s">
        <v>181</v>
      </c>
      <c r="B180" s="4" t="s">
        <v>252</v>
      </c>
      <c r="C180" s="4" t="str">
        <f t="shared" si="3"/>
        <v>Valores validos: (X - n.  Biblioteca Virgilio Barco)</v>
      </c>
    </row>
    <row r="181" spans="1:3" ht="28.8" x14ac:dyDescent="0.3">
      <c r="A181" s="4" t="s">
        <v>182</v>
      </c>
      <c r="B181" s="4" t="s">
        <v>253</v>
      </c>
      <c r="C181" s="4" t="str">
        <f t="shared" si="3"/>
        <v>Valores validos: (X - o. Plaza Fundacional de Usaquén)</v>
      </c>
    </row>
    <row r="182" spans="1:3" x14ac:dyDescent="0.3">
      <c r="A182" s="4" t="s">
        <v>183</v>
      </c>
      <c r="B182" s="4" t="s">
        <v>312</v>
      </c>
      <c r="C182" s="4" t="str">
        <f t="shared" si="3"/>
        <v>Valores validos: (X - p. Pasaje Rivas)</v>
      </c>
    </row>
    <row r="183" spans="1:3" x14ac:dyDescent="0.3">
      <c r="A183" s="4" t="s">
        <v>184</v>
      </c>
      <c r="B183" s="4" t="s">
        <v>313</v>
      </c>
      <c r="C183" s="4" t="str">
        <f t="shared" si="3"/>
        <v>Valores validos: (X - q. Corferias)</v>
      </c>
    </row>
    <row r="184" spans="1:3" x14ac:dyDescent="0.3">
      <c r="A184" s="4" t="s">
        <v>185</v>
      </c>
      <c r="B184" s="4" t="s">
        <v>314</v>
      </c>
      <c r="C184" s="4" t="str">
        <f t="shared" si="3"/>
        <v>Valores validos: (X - r. Agora)</v>
      </c>
    </row>
    <row r="185" spans="1:3" x14ac:dyDescent="0.3">
      <c r="A185" s="4" t="s">
        <v>186</v>
      </c>
      <c r="B185" s="4" t="s">
        <v>315</v>
      </c>
      <c r="C185" s="4" t="str">
        <f t="shared" si="3"/>
        <v>Valores validos: (X - s. Centros comerciales)</v>
      </c>
    </row>
    <row r="186" spans="1:3" x14ac:dyDescent="0.3">
      <c r="A186" s="4" t="s">
        <v>187</v>
      </c>
      <c r="B186" s="4" t="s">
        <v>437</v>
      </c>
      <c r="C186" s="4"/>
    </row>
    <row r="187" spans="1:3" x14ac:dyDescent="0.3">
      <c r="A187" s="4" t="s">
        <v>188</v>
      </c>
      <c r="B187" s="4" t="s">
        <v>316</v>
      </c>
      <c r="C187" s="4" t="str">
        <f t="shared" si="3"/>
        <v>Valores validos: (X - t. Otro)</v>
      </c>
    </row>
    <row r="188" spans="1:3" x14ac:dyDescent="0.3">
      <c r="A188" s="4" t="s">
        <v>189</v>
      </c>
      <c r="B188" s="4" t="s">
        <v>223</v>
      </c>
      <c r="C188" s="4"/>
    </row>
    <row r="189" spans="1:3" x14ac:dyDescent="0.3">
      <c r="A189" s="4" t="s">
        <v>190</v>
      </c>
      <c r="B189" s="4" t="s">
        <v>438</v>
      </c>
      <c r="C189" s="4"/>
    </row>
    <row r="190" spans="1:3" ht="28.8" x14ac:dyDescent="0.3">
      <c r="A190" s="4" t="s">
        <v>191</v>
      </c>
      <c r="B190" s="4" t="s">
        <v>441</v>
      </c>
      <c r="C190" s="2" t="s">
        <v>361</v>
      </c>
    </row>
    <row r="191" spans="1:3" ht="15" x14ac:dyDescent="0.3">
      <c r="A191" s="4" t="s">
        <v>192</v>
      </c>
      <c r="B191" s="4" t="s">
        <v>317</v>
      </c>
      <c r="C191" s="2" t="s">
        <v>361</v>
      </c>
    </row>
    <row r="192" spans="1:3" ht="28.8" x14ac:dyDescent="0.3">
      <c r="A192" s="4" t="s">
        <v>193</v>
      </c>
      <c r="B192" s="4" t="s">
        <v>442</v>
      </c>
      <c r="C192" s="4"/>
    </row>
    <row r="193" spans="1:3" ht="15" x14ac:dyDescent="0.3">
      <c r="A193" s="4" t="s">
        <v>194</v>
      </c>
      <c r="B193" s="4" t="s">
        <v>443</v>
      </c>
      <c r="C193" s="2" t="s">
        <v>361</v>
      </c>
    </row>
    <row r="194" spans="1:3" ht="30" x14ac:dyDescent="0.3">
      <c r="A194" s="4" t="s">
        <v>195</v>
      </c>
      <c r="B194" s="4" t="s">
        <v>444</v>
      </c>
      <c r="C194" s="2" t="s">
        <v>456</v>
      </c>
    </row>
    <row r="195" spans="1:3" ht="15" x14ac:dyDescent="0.3">
      <c r="A195" s="4" t="s">
        <v>196</v>
      </c>
      <c r="B195" s="4" t="s">
        <v>445</v>
      </c>
      <c r="C195" s="2" t="s">
        <v>361</v>
      </c>
    </row>
    <row r="196" spans="1:3" ht="28.8" x14ac:dyDescent="0.3">
      <c r="A196" s="4" t="s">
        <v>197</v>
      </c>
      <c r="B196" s="4" t="s">
        <v>446</v>
      </c>
      <c r="C196" s="4"/>
    </row>
    <row r="197" spans="1:3" ht="43.2" x14ac:dyDescent="0.3">
      <c r="A197" s="4" t="s">
        <v>198</v>
      </c>
      <c r="B197" s="4" t="s">
        <v>318</v>
      </c>
      <c r="C197" s="4" t="s">
        <v>457</v>
      </c>
    </row>
    <row r="198" spans="1:3" ht="43.2" x14ac:dyDescent="0.3">
      <c r="A198" s="4" t="s">
        <v>199</v>
      </c>
      <c r="B198" s="4" t="s">
        <v>319</v>
      </c>
      <c r="C198" s="4" t="s">
        <v>457</v>
      </c>
    </row>
    <row r="199" spans="1:3" ht="14.4" customHeight="1" x14ac:dyDescent="0.3">
      <c r="A199" s="4" t="s">
        <v>200</v>
      </c>
      <c r="B199" s="4" t="s">
        <v>447</v>
      </c>
      <c r="C199" s="4" t="s">
        <v>457</v>
      </c>
    </row>
    <row r="200" spans="1:3" ht="14.4" customHeight="1" x14ac:dyDescent="0.3">
      <c r="A200" s="4" t="s">
        <v>201</v>
      </c>
      <c r="B200" s="4" t="s">
        <v>448</v>
      </c>
      <c r="C200" s="4" t="s">
        <v>457</v>
      </c>
    </row>
    <row r="201" spans="1:3" ht="43.2" x14ac:dyDescent="0.3">
      <c r="A201" s="4" t="s">
        <v>202</v>
      </c>
      <c r="B201" s="4" t="s">
        <v>449</v>
      </c>
      <c r="C201" s="4" t="s">
        <v>457</v>
      </c>
    </row>
    <row r="202" spans="1:3" ht="43.2" x14ac:dyDescent="0.3">
      <c r="A202" s="4" t="s">
        <v>203</v>
      </c>
      <c r="B202" s="4" t="s">
        <v>320</v>
      </c>
      <c r="C202" s="4" t="s">
        <v>457</v>
      </c>
    </row>
    <row r="203" spans="1:3" ht="43.2" x14ac:dyDescent="0.3">
      <c r="A203" s="4" t="s">
        <v>204</v>
      </c>
      <c r="B203" s="4" t="s">
        <v>321</v>
      </c>
      <c r="C203" s="4" t="s">
        <v>457</v>
      </c>
    </row>
    <row r="204" spans="1:3" ht="28.8" x14ac:dyDescent="0.3">
      <c r="A204" s="4" t="s">
        <v>205</v>
      </c>
      <c r="B204" s="4" t="s">
        <v>446</v>
      </c>
      <c r="C204" s="4"/>
    </row>
    <row r="205" spans="1:3" ht="43.2" x14ac:dyDescent="0.3">
      <c r="A205" s="4" t="s">
        <v>206</v>
      </c>
      <c r="B205" s="4" t="s">
        <v>451</v>
      </c>
      <c r="C205" s="4" t="s">
        <v>457</v>
      </c>
    </row>
    <row r="206" spans="1:3" ht="43.2" x14ac:dyDescent="0.3">
      <c r="A206" s="4" t="s">
        <v>207</v>
      </c>
      <c r="B206" s="4" t="s">
        <v>322</v>
      </c>
      <c r="C206" s="4" t="s">
        <v>457</v>
      </c>
    </row>
    <row r="207" spans="1:3" ht="43.2" x14ac:dyDescent="0.3">
      <c r="A207" s="4" t="s">
        <v>208</v>
      </c>
      <c r="B207" s="4" t="s">
        <v>323</v>
      </c>
      <c r="C207" s="4" t="s">
        <v>457</v>
      </c>
    </row>
    <row r="208" spans="1:3" ht="43.2" x14ac:dyDescent="0.3">
      <c r="A208" s="4" t="s">
        <v>209</v>
      </c>
      <c r="B208" s="4" t="s">
        <v>450</v>
      </c>
      <c r="C208" s="4" t="s">
        <v>457</v>
      </c>
    </row>
    <row r="209" spans="1:3" ht="43.2" x14ac:dyDescent="0.3">
      <c r="A209" s="4" t="s">
        <v>210</v>
      </c>
      <c r="B209" s="4" t="s">
        <v>324</v>
      </c>
      <c r="C209" s="4" t="s">
        <v>457</v>
      </c>
    </row>
    <row r="210" spans="1:3" ht="43.2" x14ac:dyDescent="0.3">
      <c r="A210" s="4" t="s">
        <v>211</v>
      </c>
      <c r="B210" s="4" t="s">
        <v>325</v>
      </c>
      <c r="C210" s="4" t="s">
        <v>457</v>
      </c>
    </row>
    <row r="211" spans="1:3" ht="15" x14ac:dyDescent="0.3">
      <c r="A211" s="4" t="s">
        <v>212</v>
      </c>
      <c r="B211" s="4" t="s">
        <v>452</v>
      </c>
      <c r="C211" s="2" t="s">
        <v>459</v>
      </c>
    </row>
    <row r="212" spans="1:3" x14ac:dyDescent="0.3">
      <c r="A212" s="4" t="s">
        <v>213</v>
      </c>
      <c r="B212" s="4" t="s">
        <v>398</v>
      </c>
      <c r="C212" s="4"/>
    </row>
    <row r="213" spans="1:3" ht="15" x14ac:dyDescent="0.3">
      <c r="A213" s="4" t="s">
        <v>214</v>
      </c>
      <c r="B213" s="4" t="s">
        <v>453</v>
      </c>
      <c r="C213" s="2" t="s">
        <v>458</v>
      </c>
    </row>
    <row r="214" spans="1:3" x14ac:dyDescent="0.3">
      <c r="A214" s="4" t="s">
        <v>215</v>
      </c>
      <c r="B214" s="4" t="s">
        <v>412</v>
      </c>
      <c r="C214" s="4"/>
    </row>
    <row r="215" spans="1:3" ht="15" x14ac:dyDescent="0.3">
      <c r="A215" s="4" t="s">
        <v>216</v>
      </c>
      <c r="B215" s="4" t="s">
        <v>454</v>
      </c>
      <c r="C215" s="2" t="s">
        <v>458</v>
      </c>
    </row>
    <row r="216" spans="1:3" x14ac:dyDescent="0.3">
      <c r="A216" s="4" t="s">
        <v>217</v>
      </c>
      <c r="B216" s="4" t="s">
        <v>412</v>
      </c>
      <c r="C216" s="4"/>
    </row>
    <row r="217" spans="1:3" ht="57.6" x14ac:dyDescent="0.3">
      <c r="A217" s="4" t="s">
        <v>218</v>
      </c>
      <c r="B217" s="4" t="s">
        <v>460</v>
      </c>
      <c r="C217" s="4"/>
    </row>
    <row r="218" spans="1:3" ht="43.2" x14ac:dyDescent="0.3">
      <c r="A218" s="4" t="s">
        <v>219</v>
      </c>
      <c r="B218" s="4" t="s">
        <v>455</v>
      </c>
      <c r="C218" s="4" t="s">
        <v>457</v>
      </c>
    </row>
    <row r="219" spans="1:3" x14ac:dyDescent="0.3">
      <c r="A219" s="4" t="s">
        <v>220</v>
      </c>
      <c r="B219" s="4" t="s">
        <v>326</v>
      </c>
      <c r="C219" s="4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Rodríguez</dc:creator>
  <cp:lastModifiedBy>Diego Alejandro Rodriguez Guerrero</cp:lastModifiedBy>
  <dcterms:created xsi:type="dcterms:W3CDTF">2015-06-05T18:17:20Z</dcterms:created>
  <dcterms:modified xsi:type="dcterms:W3CDTF">2025-07-15T18:38:16Z</dcterms:modified>
</cp:coreProperties>
</file>